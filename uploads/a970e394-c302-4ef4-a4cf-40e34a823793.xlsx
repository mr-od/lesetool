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lients - MANAGEMENT\Eden Park (copy from T drive 17 dec 19)\Procurement\Electricity\RfP 2025\"/>
    </mc:Choice>
  </mc:AlternateContent>
  <xr:revisionPtr revIDLastSave="0" documentId="13_ncr:11_{6DCAD144-15DF-411E-ACBA-7969958D1EBC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ite List" sheetId="5" r:id="rId1"/>
    <sheet name="48 Part" sheetId="2" r:id="rId2"/>
    <sheet name="144 Part" sheetId="4" r:id="rId3"/>
  </sheets>
  <definedNames>
    <definedName name="_xlnm._FilterDatabase" localSheetId="0" hidden="1">'Site List'!#REF!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5" l="1"/>
  <c r="M29" i="5" l="1"/>
  <c r="E109" i="2"/>
  <c r="D109" i="2"/>
  <c r="C109" i="2"/>
  <c r="B109" i="2"/>
  <c r="E108" i="2"/>
  <c r="D108" i="2"/>
  <c r="C108" i="2"/>
  <c r="B108" i="2"/>
  <c r="E107" i="2"/>
  <c r="D107" i="2"/>
  <c r="C107" i="2"/>
  <c r="B107" i="2"/>
  <c r="E106" i="2"/>
  <c r="D106" i="2"/>
  <c r="C106" i="2"/>
  <c r="B106" i="2"/>
  <c r="E105" i="2"/>
  <c r="D105" i="2"/>
  <c r="C105" i="2"/>
  <c r="B105" i="2"/>
  <c r="E104" i="2"/>
  <c r="D104" i="2"/>
  <c r="C104" i="2"/>
  <c r="B104" i="2"/>
  <c r="E103" i="2"/>
  <c r="D103" i="2"/>
  <c r="C103" i="2"/>
  <c r="B103" i="2"/>
  <c r="E102" i="2"/>
  <c r="D102" i="2"/>
  <c r="C102" i="2"/>
  <c r="B102" i="2"/>
  <c r="E101" i="2"/>
  <c r="D101" i="2"/>
  <c r="C101" i="2"/>
  <c r="B101" i="2"/>
  <c r="E100" i="2"/>
  <c r="D100" i="2"/>
  <c r="C100" i="2"/>
  <c r="B100" i="2"/>
  <c r="E99" i="2"/>
  <c r="D99" i="2"/>
  <c r="C99" i="2"/>
  <c r="B99" i="2"/>
  <c r="E98" i="2"/>
  <c r="D98" i="2"/>
  <c r="C98" i="2"/>
  <c r="B98" i="2"/>
  <c r="E83" i="2"/>
  <c r="D83" i="2"/>
  <c r="C83" i="2"/>
  <c r="B83" i="2"/>
  <c r="E82" i="2"/>
  <c r="D82" i="2"/>
  <c r="C82" i="2"/>
  <c r="B82" i="2"/>
  <c r="E81" i="2"/>
  <c r="D81" i="2"/>
  <c r="C81" i="2"/>
  <c r="B81" i="2"/>
  <c r="E80" i="2"/>
  <c r="D80" i="2"/>
  <c r="C80" i="2"/>
  <c r="B80" i="2"/>
  <c r="E79" i="2"/>
  <c r="D79" i="2"/>
  <c r="C79" i="2"/>
  <c r="B79" i="2"/>
  <c r="E78" i="2"/>
  <c r="D78" i="2"/>
  <c r="C78" i="2"/>
  <c r="B78" i="2"/>
  <c r="E77" i="2"/>
  <c r="D77" i="2"/>
  <c r="C77" i="2"/>
  <c r="B77" i="2"/>
  <c r="E76" i="2"/>
  <c r="D76" i="2"/>
  <c r="C76" i="2"/>
  <c r="B76" i="2"/>
  <c r="E75" i="2"/>
  <c r="D75" i="2"/>
  <c r="C75" i="2"/>
  <c r="B75" i="2"/>
  <c r="E74" i="2"/>
  <c r="D74" i="2"/>
  <c r="C74" i="2"/>
  <c r="B74" i="2"/>
  <c r="E73" i="2"/>
  <c r="D73" i="2"/>
  <c r="C73" i="2"/>
  <c r="B73" i="2"/>
  <c r="E72" i="2"/>
  <c r="D72" i="2"/>
  <c r="C72" i="2"/>
  <c r="B72" i="2"/>
  <c r="E57" i="2"/>
  <c r="D57" i="2"/>
  <c r="C57" i="2"/>
  <c r="B57" i="2"/>
  <c r="E56" i="2"/>
  <c r="D56" i="2"/>
  <c r="C56" i="2"/>
  <c r="B56" i="2"/>
  <c r="E55" i="2"/>
  <c r="D55" i="2"/>
  <c r="C55" i="2"/>
  <c r="B55" i="2"/>
  <c r="E54" i="2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B21" i="2"/>
  <c r="C21" i="2"/>
  <c r="D21" i="2"/>
  <c r="E21" i="2"/>
  <c r="B22" i="2"/>
  <c r="C22" i="2"/>
  <c r="D22" i="2"/>
  <c r="E22" i="2"/>
  <c r="B23" i="2"/>
  <c r="C23" i="2"/>
  <c r="D23" i="2"/>
  <c r="E23" i="2"/>
  <c r="B24" i="2"/>
  <c r="C24" i="2"/>
  <c r="D24" i="2"/>
  <c r="E24" i="2"/>
  <c r="B25" i="2"/>
  <c r="C25" i="2"/>
  <c r="D25" i="2"/>
  <c r="E25" i="2"/>
  <c r="B26" i="2"/>
  <c r="C26" i="2"/>
  <c r="D26" i="2"/>
  <c r="E26" i="2"/>
  <c r="B27" i="2"/>
  <c r="C27" i="2"/>
  <c r="D27" i="2"/>
  <c r="E27" i="2"/>
  <c r="B28" i="2"/>
  <c r="C28" i="2"/>
  <c r="D28" i="2"/>
  <c r="E28" i="2"/>
  <c r="B29" i="2"/>
  <c r="C29" i="2"/>
  <c r="D29" i="2"/>
  <c r="E29" i="2"/>
  <c r="B30" i="2"/>
  <c r="C30" i="2"/>
  <c r="D30" i="2"/>
  <c r="E30" i="2"/>
  <c r="B31" i="2"/>
  <c r="C31" i="2"/>
  <c r="D31" i="2"/>
  <c r="E31" i="2"/>
  <c r="E20" i="2"/>
  <c r="D20" i="2"/>
  <c r="C20" i="2"/>
  <c r="B20" i="2"/>
  <c r="B8" i="2" l="1"/>
  <c r="B15" i="2" s="1"/>
  <c r="D12" i="2" l="1"/>
  <c r="D11" i="2"/>
  <c r="D11" i="4" s="1"/>
  <c r="B12" i="2"/>
  <c r="B14" i="2"/>
  <c r="D13" i="2"/>
  <c r="B13" i="2"/>
  <c r="B7" i="2"/>
  <c r="B11" i="2"/>
  <c r="B10" i="2"/>
  <c r="B9" i="2"/>
  <c r="M20" i="5" l="1"/>
  <c r="B86" i="2" l="1"/>
  <c r="B93" i="2" s="1"/>
  <c r="B60" i="2"/>
  <c r="B67" i="2" s="1"/>
  <c r="B16" i="2"/>
  <c r="M9" i="5" s="1"/>
  <c r="B34" i="2"/>
  <c r="B41" i="2" s="1"/>
  <c r="B35" i="2" l="1"/>
  <c r="B40" i="2"/>
  <c r="D39" i="2"/>
  <c r="D39" i="4" s="1"/>
  <c r="B38" i="2"/>
  <c r="B37" i="2"/>
  <c r="B39" i="2"/>
  <c r="D38" i="2"/>
  <c r="D38" i="4" s="1"/>
  <c r="D37" i="2"/>
  <c r="D37" i="4" s="1"/>
  <c r="B36" i="2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D65" i="2"/>
  <c r="D65" i="4" s="1"/>
  <c r="D63" i="2"/>
  <c r="D63" i="4" s="1"/>
  <c r="B63" i="2"/>
  <c r="B65" i="2"/>
  <c r="B62" i="2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B61" i="2"/>
  <c r="B66" i="2"/>
  <c r="D64" i="2"/>
  <c r="D64" i="4" s="1"/>
  <c r="B64" i="2"/>
  <c r="B92" i="2"/>
  <c r="D91" i="2"/>
  <c r="D91" i="4" s="1"/>
  <c r="D90" i="2"/>
  <c r="D90" i="4" s="1"/>
  <c r="B90" i="2"/>
  <c r="B88" i="2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D89" i="2"/>
  <c r="D89" i="4" s="1"/>
  <c r="B91" i="2"/>
  <c r="B89" i="2"/>
  <c r="B87" i="2"/>
  <c r="B59" i="2"/>
  <c r="B33" i="2"/>
  <c r="B85" i="2"/>
  <c r="A20" i="2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B5" i="2" l="1"/>
  <c r="B94" i="2" l="1"/>
  <c r="M12" i="5" s="1"/>
  <c r="B93" i="4"/>
  <c r="B92" i="4"/>
  <c r="B91" i="4"/>
  <c r="B90" i="4"/>
  <c r="B89" i="4"/>
  <c r="B87" i="4"/>
  <c r="B68" i="2"/>
  <c r="M11" i="5" s="1"/>
  <c r="B67" i="4"/>
  <c r="B66" i="4"/>
  <c r="B65" i="4"/>
  <c r="B64" i="4"/>
  <c r="B63" i="4"/>
  <c r="B61" i="4"/>
  <c r="B42" i="2"/>
  <c r="M10" i="5" s="1"/>
  <c r="B41" i="4"/>
  <c r="B40" i="4"/>
  <c r="B39" i="4"/>
  <c r="B38" i="4"/>
  <c r="B37" i="4"/>
  <c r="B35" i="4"/>
  <c r="B85" i="4"/>
  <c r="B59" i="4"/>
  <c r="B33" i="4"/>
  <c r="B94" i="4"/>
  <c r="B86" i="4"/>
  <c r="B68" i="4"/>
  <c r="B60" i="4"/>
  <c r="B42" i="4"/>
  <c r="B34" i="4"/>
  <c r="M14" i="5" l="1"/>
  <c r="M22" i="5" s="1"/>
  <c r="B62" i="4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B88" i="4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B36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D12" i="4" l="1"/>
  <c r="B8" i="4" l="1"/>
  <c r="B9" i="4"/>
  <c r="B10" i="4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D13" i="4" l="1"/>
  <c r="B16" i="4"/>
  <c r="B7" i="4"/>
  <c r="B11" i="4"/>
  <c r="B12" i="4"/>
  <c r="B13" i="4"/>
  <c r="B14" i="4"/>
  <c r="B15" i="4"/>
  <c r="B5" i="4"/>
  <c r="A2" i="2" l="1"/>
  <c r="A2" i="4" s="1"/>
</calcChain>
</file>

<file path=xl/sharedStrings.xml><?xml version="1.0" encoding="utf-8"?>
<sst xmlns="http://schemas.openxmlformats.org/spreadsheetml/2006/main" count="321" uniqueCount="81">
  <si>
    <t>Postal address:</t>
  </si>
  <si>
    <t>Physical address:</t>
  </si>
  <si>
    <t>ICP Number:</t>
  </si>
  <si>
    <t>GXP:</t>
  </si>
  <si>
    <t>Commencement:</t>
  </si>
  <si>
    <t>Load Group:</t>
  </si>
  <si>
    <t>Loss Factor:</t>
  </si>
  <si>
    <t>Current supplier:</t>
  </si>
  <si>
    <t>Est. Usage:</t>
  </si>
  <si>
    <t>kWh/annum</t>
  </si>
  <si>
    <t>kWh</t>
  </si>
  <si>
    <t>0000-0800</t>
  </si>
  <si>
    <t>0800-2400</t>
  </si>
  <si>
    <t>Meter owner:</t>
  </si>
  <si>
    <t>Cat:</t>
  </si>
  <si>
    <t>Installation type:</t>
  </si>
  <si>
    <t>0000-0400</t>
  </si>
  <si>
    <t>0400-0800</t>
  </si>
  <si>
    <t>0800-1200</t>
  </si>
  <si>
    <t>1200-1600</t>
  </si>
  <si>
    <t>1600-2000</t>
  </si>
  <si>
    <t>2000-2400</t>
  </si>
  <si>
    <t>All totals are estimates based on historical information</t>
  </si>
  <si>
    <t>No liability is accepted for any error or omission</t>
  </si>
  <si>
    <t>Capacity:</t>
  </si>
  <si>
    <t>Business Day</t>
  </si>
  <si>
    <t>Non Business Day</t>
  </si>
  <si>
    <t>Category:</t>
  </si>
  <si>
    <t>Postal Address:</t>
  </si>
  <si>
    <t>Meter Owner:</t>
  </si>
  <si>
    <t>Installation Type:</t>
  </si>
  <si>
    <t>Current Supplier:</t>
  </si>
  <si>
    <t>Physical Address:</t>
  </si>
  <si>
    <t>Demand:</t>
  </si>
  <si>
    <t>Non Business day</t>
  </si>
  <si>
    <t>0132426315LC55E</t>
  </si>
  <si>
    <t>0138572097LCAAE</t>
  </si>
  <si>
    <t>0157195775LCCFD</t>
  </si>
  <si>
    <t>1001153957LC737</t>
  </si>
  <si>
    <t>TIME OF USE CONNECTIONS:</t>
  </si>
  <si>
    <t>NON TIME OF USE CONNECTIONS:</t>
  </si>
  <si>
    <t>0157211029LCDF8</t>
  </si>
  <si>
    <t>1001140332LC583</t>
  </si>
  <si>
    <t>TOU Total</t>
  </si>
  <si>
    <t>NTOU Total</t>
  </si>
  <si>
    <t>TOTAL ELECTRICITY</t>
  </si>
  <si>
    <t>NON TIME OF USE GAS CONNECTIONS:</t>
  </si>
  <si>
    <t>TOTAL NATURAL GAS</t>
  </si>
  <si>
    <t>Price cat:</t>
  </si>
  <si>
    <t>Meter cat:</t>
  </si>
  <si>
    <t xml:space="preserve">0000161061QTA32 </t>
  </si>
  <si>
    <t xml:space="preserve">1001154923QTDE1 </t>
  </si>
  <si>
    <t>58 Walters Road Kingsland Auckland</t>
  </si>
  <si>
    <t>2A Reimers Avenue Morningside Auckland</t>
  </si>
  <si>
    <t>GA03</t>
  </si>
  <si>
    <t>M11BR14H</t>
  </si>
  <si>
    <t>Nova Energy</t>
  </si>
  <si>
    <t>M11BR30H</t>
  </si>
  <si>
    <t>GA04</t>
  </si>
  <si>
    <t>2 A Reimers Avenue, Morningside, Auckland</t>
  </si>
  <si>
    <t>ROS1101</t>
  </si>
  <si>
    <t>AHVT</t>
  </si>
  <si>
    <t>VECA3</t>
  </si>
  <si>
    <t/>
  </si>
  <si>
    <t>AMCI</t>
  </si>
  <si>
    <t>L</t>
  </si>
  <si>
    <t>Walters Road, Kingsland, Auckland</t>
  </si>
  <si>
    <t>ATXT</t>
  </si>
  <si>
    <t>4-42 Reimers Avenue, Mount Eden, Auckland</t>
  </si>
  <si>
    <t>86 Sandringham Road, Morningside, Auckland</t>
  </si>
  <si>
    <t>ABSH</t>
  </si>
  <si>
    <t>VECA1</t>
  </si>
  <si>
    <t>NGCM</t>
  </si>
  <si>
    <t>Reimers Avenue, Morningside, Auckland</t>
  </si>
  <si>
    <t>Mercury</t>
  </si>
  <si>
    <t>Contact Energy</t>
  </si>
  <si>
    <t>REQUEST FOR PROPOSAL - THE EDEN PARK TRUST</t>
  </si>
  <si>
    <t>Gas gate:</t>
  </si>
  <si>
    <t>WKM17701</t>
  </si>
  <si>
    <t>GJ/annum</t>
  </si>
  <si>
    <t>Private Bag 56906, Mount Eden, Auckland 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</si>
</sst>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 mmm\ yy"/>
    <numFmt numFmtId="165" formatCode="mmmm"/>
    <numFmt numFmtId="166" formatCode="_-* #,##0_-;\-* #,##0_-;_-* &quot;-&quot;??_-;_-@_-"/>
    <numFmt numFmtId="167" formatCode="dd\ mmm\ yyyy"/>
  </numFmts>
  <fonts count="1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/>
    </xf>
    <xf numFmtId="0" fontId="7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165" fontId="6" fillId="2" borderId="0" xfId="0" applyNumberFormat="1" applyFont="1" applyFill="1" applyAlignment="1">
      <alignment horizontal="left"/>
    </xf>
    <xf numFmtId="3" fontId="6" fillId="2" borderId="1" xfId="0" applyNumberFormat="1" applyFont="1" applyFill="1" applyBorder="1" applyAlignment="1">
      <alignment horizontal="center"/>
    </xf>
    <xf numFmtId="3" fontId="5" fillId="2" borderId="0" xfId="0" applyNumberFormat="1" applyFont="1" applyFill="1" applyAlignment="1">
      <alignment horizontal="center"/>
    </xf>
    <xf numFmtId="0" fontId="8" fillId="2" borderId="0" xfId="0" applyFont="1" applyFill="1"/>
    <xf numFmtId="0" fontId="0" fillId="2" borderId="0" xfId="0" applyFill="1" applyAlignment="1">
      <alignment horizontal="left"/>
    </xf>
    <xf numFmtId="164" fontId="5" fillId="2" borderId="0" xfId="0" applyNumberFormat="1" applyFont="1" applyFill="1" applyAlignment="1">
      <alignment horizontal="left"/>
    </xf>
    <xf numFmtId="3" fontId="5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0" fillId="2" borderId="0" xfId="0" applyNumberFormat="1" applyFill="1"/>
    <xf numFmtId="166" fontId="9" fillId="2" borderId="0" xfId="0" applyNumberFormat="1" applyFont="1" applyFill="1" applyAlignment="1">
      <alignment horizontal="center"/>
    </xf>
    <xf numFmtId="0" fontId="9" fillId="2" borderId="0" xfId="0" applyFont="1" applyFill="1"/>
    <xf numFmtId="167" fontId="0" fillId="2" borderId="0" xfId="0" applyNumberFormat="1" applyFill="1"/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0" fillId="2" borderId="0" xfId="0" applyFont="1" applyFill="1"/>
    <xf numFmtId="0" fontId="9" fillId="2" borderId="0" xfId="0" applyFont="1" applyFill="1" applyAlignment="1">
      <alignment horizontal="right"/>
    </xf>
    <xf numFmtId="0" fontId="0" fillId="2" borderId="0" xfId="0" applyNumberFormat="1" applyFill="1"/>
    <xf numFmtId="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5"/>
  <sheetViews>
    <sheetView tabSelected="1" workbookViewId="0">
      <selection activeCell="D24" sqref="D24"/>
    </sheetView>
  </sheetViews>
  <sheetFormatPr defaultColWidth="0" defaultRowHeight="15" zeroHeight="1" x14ac:dyDescent="0.25"/>
  <cols>
    <col min="1" max="1" width="20.85546875" style="2" bestFit="1" customWidth="1"/>
    <col min="2" max="2" width="42.7109375" style="2" bestFit="1" customWidth="1"/>
    <col min="3" max="3" width="10.7109375" style="18" bestFit="1" customWidth="1"/>
    <col min="4" max="4" width="12.5703125" style="18" bestFit="1" customWidth="1"/>
    <col min="5" max="5" width="9" style="18" bestFit="1" customWidth="1"/>
    <col min="6" max="6" width="8.5703125" style="18" bestFit="1" customWidth="1"/>
    <col min="7" max="7" width="7" style="18" customWidth="1"/>
    <col min="8" max="8" width="7" style="18" bestFit="1" customWidth="1"/>
    <col min="9" max="9" width="10.42578125" style="18" bestFit="1" customWidth="1"/>
    <col min="10" max="10" width="7.28515625" style="18" bestFit="1" customWidth="1"/>
    <col min="11" max="11" width="12.28515625" style="18" bestFit="1" customWidth="1"/>
    <col min="12" max="12" width="22.140625" style="18" bestFit="1" customWidth="1"/>
    <col min="13" max="13" width="11.5703125" style="18" bestFit="1" customWidth="1"/>
    <col min="14" max="14" width="12.42578125" style="2" bestFit="1" customWidth="1"/>
    <col min="15" max="15" width="2" style="2" customWidth="1"/>
    <col min="16" max="20" width="9" hidden="1" customWidth="1"/>
    <col min="21" max="16384" width="9.140625" hidden="1"/>
  </cols>
  <sheetData>
    <row r="1" spans="1:15" x14ac:dyDescent="0.25"/>
    <row r="2" spans="1:15" ht="15" customHeight="1" x14ac:dyDescent="0.25">
      <c r="A2" s="27" t="s">
        <v>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3"/>
      <c r="O2" s="3"/>
    </row>
    <row r="3" spans="1:15" ht="15" customHeight="1" x14ac:dyDescent="0.25">
      <c r="A3" s="3"/>
      <c r="B3" s="3"/>
      <c r="C3" s="17"/>
      <c r="D3" s="17"/>
      <c r="E3" s="17"/>
      <c r="F3" s="17"/>
      <c r="G3" s="17"/>
      <c r="H3" s="17"/>
      <c r="I3" s="17"/>
      <c r="J3" s="17"/>
      <c r="K3" s="17"/>
      <c r="L3" s="17"/>
      <c r="N3" s="3"/>
      <c r="O3" s="3"/>
    </row>
    <row r="4" spans="1:15" x14ac:dyDescent="0.25">
      <c r="A4" s="12" t="s">
        <v>28</v>
      </c>
      <c r="B4" s="2" t="s">
        <v>80</v>
      </c>
    </row>
    <row r="5" spans="1:15" x14ac:dyDescent="0.25">
      <c r="A5" s="12"/>
    </row>
    <row r="6" spans="1:15" x14ac:dyDescent="0.25">
      <c r="A6" s="29" t="s">
        <v>39</v>
      </c>
    </row>
    <row r="7" spans="1:15" x14ac:dyDescent="0.25"/>
    <row r="8" spans="1:15" s="22" customFormat="1" x14ac:dyDescent="0.25">
      <c r="A8" s="20" t="s">
        <v>2</v>
      </c>
      <c r="B8" s="20" t="s">
        <v>32</v>
      </c>
      <c r="C8" s="21" t="s">
        <v>3</v>
      </c>
      <c r="D8" s="21" t="s">
        <v>4</v>
      </c>
      <c r="E8" s="21" t="s">
        <v>5</v>
      </c>
      <c r="F8" s="21" t="s">
        <v>6</v>
      </c>
      <c r="G8" s="21" t="s">
        <v>24</v>
      </c>
      <c r="H8" s="21" t="s">
        <v>33</v>
      </c>
      <c r="I8" s="21" t="s">
        <v>29</v>
      </c>
      <c r="J8" s="21" t="s">
        <v>27</v>
      </c>
      <c r="K8" s="21" t="s">
        <v>30</v>
      </c>
      <c r="L8" s="21" t="s">
        <v>31</v>
      </c>
      <c r="M8" s="21" t="s">
        <v>8</v>
      </c>
      <c r="N8" s="2"/>
      <c r="O8" s="2"/>
    </row>
    <row r="9" spans="1:15" x14ac:dyDescent="0.25">
      <c r="A9" s="2" t="s">
        <v>35</v>
      </c>
      <c r="B9" s="2" t="s">
        <v>59</v>
      </c>
      <c r="C9" s="2" t="s">
        <v>60</v>
      </c>
      <c r="D9" s="26">
        <v>46054</v>
      </c>
      <c r="E9" s="2" t="s">
        <v>61</v>
      </c>
      <c r="F9" s="2" t="s">
        <v>62</v>
      </c>
      <c r="G9" s="31">
        <v>650</v>
      </c>
      <c r="H9" s="2" t="s">
        <v>63</v>
      </c>
      <c r="I9" s="18" t="s">
        <v>64</v>
      </c>
      <c r="J9" s="32">
        <v>4</v>
      </c>
      <c r="K9" s="18" t="s">
        <v>65</v>
      </c>
      <c r="L9" s="18" t="s">
        <v>74</v>
      </c>
      <c r="M9" s="11">
        <f>'48 Part'!B16</f>
        <v>1403702.4900000005</v>
      </c>
    </row>
    <row r="10" spans="1:15" x14ac:dyDescent="0.25">
      <c r="A10" s="2" t="s">
        <v>36</v>
      </c>
      <c r="B10" s="2" t="s">
        <v>66</v>
      </c>
      <c r="C10" s="2" t="s">
        <v>60</v>
      </c>
      <c r="D10" s="26">
        <v>46054</v>
      </c>
      <c r="E10" s="2" t="s">
        <v>67</v>
      </c>
      <c r="F10" s="2" t="s">
        <v>62</v>
      </c>
      <c r="G10" s="31">
        <v>750</v>
      </c>
      <c r="H10" s="2" t="s">
        <v>63</v>
      </c>
      <c r="I10" s="18" t="s">
        <v>64</v>
      </c>
      <c r="J10" s="32">
        <v>4</v>
      </c>
      <c r="K10" s="18" t="s">
        <v>65</v>
      </c>
      <c r="L10" s="18" t="s">
        <v>74</v>
      </c>
      <c r="M10" s="11">
        <f>'48 Part'!B42</f>
        <v>1294789.1519999998</v>
      </c>
    </row>
    <row r="11" spans="1:15" x14ac:dyDescent="0.25">
      <c r="A11" s="2" t="s">
        <v>37</v>
      </c>
      <c r="B11" s="2" t="s">
        <v>66</v>
      </c>
      <c r="C11" s="2" t="s">
        <v>60</v>
      </c>
      <c r="D11" s="26">
        <v>46054</v>
      </c>
      <c r="E11" s="2" t="s">
        <v>67</v>
      </c>
      <c r="F11" s="2" t="s">
        <v>62</v>
      </c>
      <c r="G11" s="31">
        <v>1500</v>
      </c>
      <c r="H11" s="2" t="s">
        <v>63</v>
      </c>
      <c r="I11" s="18" t="s">
        <v>64</v>
      </c>
      <c r="J11" s="32">
        <v>3</v>
      </c>
      <c r="K11" s="18" t="s">
        <v>65</v>
      </c>
      <c r="L11" s="18" t="s">
        <v>74</v>
      </c>
      <c r="M11" s="11">
        <f>'48 Part'!B68</f>
        <v>1695359.4479999999</v>
      </c>
    </row>
    <row r="12" spans="1:15" x14ac:dyDescent="0.25">
      <c r="A12" s="2" t="s">
        <v>38</v>
      </c>
      <c r="B12" s="2" t="s">
        <v>68</v>
      </c>
      <c r="C12" s="2" t="s">
        <v>60</v>
      </c>
      <c r="D12" s="26">
        <v>46054</v>
      </c>
      <c r="E12" s="2" t="s">
        <v>67</v>
      </c>
      <c r="F12" s="2" t="s">
        <v>62</v>
      </c>
      <c r="G12" s="31">
        <v>1000</v>
      </c>
      <c r="H12" s="2" t="s">
        <v>63</v>
      </c>
      <c r="I12" s="18" t="s">
        <v>64</v>
      </c>
      <c r="J12" s="32">
        <v>4</v>
      </c>
      <c r="K12" s="18" t="s">
        <v>65</v>
      </c>
      <c r="L12" s="18" t="s">
        <v>74</v>
      </c>
      <c r="M12" s="11">
        <f>'48 Part'!B94</f>
        <v>2283477.7279999997</v>
      </c>
    </row>
    <row r="13" spans="1:15" x14ac:dyDescent="0.25">
      <c r="C13" s="2"/>
      <c r="D13" s="26"/>
      <c r="E13" s="2"/>
      <c r="F13" s="2"/>
      <c r="G13" s="2"/>
      <c r="H13" s="2"/>
      <c r="I13" s="2"/>
      <c r="J13" s="2"/>
      <c r="K13" s="2"/>
      <c r="L13" s="2"/>
      <c r="M13" s="19"/>
    </row>
    <row r="14" spans="1:15" x14ac:dyDescent="0.25">
      <c r="A14" s="29" t="s">
        <v>40</v>
      </c>
      <c r="C14" s="2"/>
      <c r="D14" s="26"/>
      <c r="E14" s="2"/>
      <c r="F14" s="2"/>
      <c r="G14" s="2"/>
      <c r="H14" s="2"/>
      <c r="I14" s="2"/>
      <c r="J14" s="2"/>
      <c r="K14" s="2"/>
      <c r="L14" s="2" t="s">
        <v>43</v>
      </c>
      <c r="M14" s="19">
        <f>SUM(M9:M12)</f>
        <v>6677328.818</v>
      </c>
      <c r="N14" s="2" t="s">
        <v>9</v>
      </c>
    </row>
    <row r="15" spans="1:15" x14ac:dyDescent="0.25">
      <c r="C15" s="2"/>
      <c r="D15" s="26"/>
      <c r="E15" s="2"/>
      <c r="F15" s="2"/>
      <c r="G15" s="2"/>
      <c r="H15" s="2"/>
      <c r="I15" s="2"/>
      <c r="J15" s="2"/>
      <c r="K15" s="2"/>
      <c r="L15" s="2"/>
      <c r="M15" s="19"/>
    </row>
    <row r="16" spans="1:15" s="22" customFormat="1" x14ac:dyDescent="0.25">
      <c r="A16" s="20" t="s">
        <v>2</v>
      </c>
      <c r="B16" s="20" t="s">
        <v>32</v>
      </c>
      <c r="C16" s="21" t="s">
        <v>3</v>
      </c>
      <c r="D16" s="21" t="s">
        <v>4</v>
      </c>
      <c r="E16" s="21" t="s">
        <v>5</v>
      </c>
      <c r="F16" s="21" t="s">
        <v>6</v>
      </c>
      <c r="G16" s="21" t="s">
        <v>24</v>
      </c>
      <c r="H16" s="21" t="s">
        <v>33</v>
      </c>
      <c r="I16" s="21" t="s">
        <v>29</v>
      </c>
      <c r="J16" s="21" t="s">
        <v>27</v>
      </c>
      <c r="K16" s="21" t="s">
        <v>30</v>
      </c>
      <c r="L16" s="21" t="s">
        <v>31</v>
      </c>
      <c r="M16" s="21" t="s">
        <v>8</v>
      </c>
      <c r="N16" s="2"/>
      <c r="O16" s="2"/>
    </row>
    <row r="17" spans="1:15" x14ac:dyDescent="0.25">
      <c r="A17" s="2" t="s">
        <v>41</v>
      </c>
      <c r="B17" s="2" t="s">
        <v>69</v>
      </c>
      <c r="C17" s="2" t="s">
        <v>60</v>
      </c>
      <c r="D17" s="26">
        <v>46054</v>
      </c>
      <c r="E17" s="2" t="s">
        <v>70</v>
      </c>
      <c r="F17" s="2" t="s">
        <v>71</v>
      </c>
      <c r="G17" s="31">
        <v>41</v>
      </c>
      <c r="H17" s="31">
        <v>41</v>
      </c>
      <c r="I17" s="18" t="s">
        <v>72</v>
      </c>
      <c r="J17" s="32">
        <v>1</v>
      </c>
      <c r="K17" s="18" t="s">
        <v>65</v>
      </c>
      <c r="L17" s="18" t="s">
        <v>75</v>
      </c>
      <c r="M17" s="19">
        <v>19796</v>
      </c>
    </row>
    <row r="18" spans="1:15" x14ac:dyDescent="0.25">
      <c r="A18" s="2" t="s">
        <v>42</v>
      </c>
      <c r="B18" s="2" t="s">
        <v>73</v>
      </c>
      <c r="C18" s="2" t="s">
        <v>60</v>
      </c>
      <c r="D18" s="26">
        <v>46054</v>
      </c>
      <c r="E18" s="2" t="s">
        <v>70</v>
      </c>
      <c r="F18" s="2" t="s">
        <v>71</v>
      </c>
      <c r="G18" s="31">
        <v>41</v>
      </c>
      <c r="H18" s="31">
        <v>41</v>
      </c>
      <c r="I18" s="18" t="s">
        <v>72</v>
      </c>
      <c r="J18" s="32">
        <v>1</v>
      </c>
      <c r="K18" s="18" t="s">
        <v>65</v>
      </c>
      <c r="L18" s="18" t="s">
        <v>75</v>
      </c>
      <c r="M18" s="19">
        <v>70757</v>
      </c>
    </row>
    <row r="19" spans="1:15" x14ac:dyDescent="0.25">
      <c r="C19" s="2"/>
      <c r="D19" s="23"/>
      <c r="E19" s="2"/>
      <c r="F19" s="2"/>
      <c r="G19" s="2"/>
      <c r="H19" s="2"/>
      <c r="I19" s="2"/>
      <c r="J19" s="2"/>
      <c r="K19" s="2"/>
      <c r="L19" s="2"/>
      <c r="M19" s="19"/>
    </row>
    <row r="20" spans="1:15" x14ac:dyDescent="0.25">
      <c r="C20" s="2"/>
      <c r="D20" s="23"/>
      <c r="E20" s="2"/>
      <c r="F20" s="2"/>
      <c r="G20" s="2"/>
      <c r="H20" s="2"/>
      <c r="I20" s="2"/>
      <c r="J20" s="2"/>
      <c r="K20" s="2"/>
      <c r="L20" s="2" t="s">
        <v>44</v>
      </c>
      <c r="M20" s="19">
        <f>SUM(M17:M18)</f>
        <v>90553</v>
      </c>
      <c r="N20" s="2" t="s">
        <v>9</v>
      </c>
    </row>
    <row r="21" spans="1:15" ht="15" customHeight="1" x14ac:dyDescent="0.25">
      <c r="C21" s="2"/>
      <c r="D21" s="23"/>
      <c r="E21" s="2"/>
      <c r="F21" s="2"/>
      <c r="G21" s="2"/>
      <c r="H21" s="2"/>
      <c r="I21" s="2"/>
      <c r="J21" s="2"/>
      <c r="K21" s="2"/>
      <c r="L21" s="2"/>
      <c r="M21" s="19"/>
    </row>
    <row r="22" spans="1:15" ht="15.75" x14ac:dyDescent="0.25">
      <c r="A22"/>
      <c r="L22" s="30" t="s">
        <v>45</v>
      </c>
      <c r="M22" s="24">
        <f>M20+M14</f>
        <v>6767881.818</v>
      </c>
      <c r="N22" s="25" t="s">
        <v>9</v>
      </c>
    </row>
    <row r="23" spans="1:15" x14ac:dyDescent="0.25">
      <c r="A23" s="29" t="s">
        <v>46</v>
      </c>
      <c r="C23" s="2"/>
      <c r="D23" s="26"/>
      <c r="E23" s="2"/>
      <c r="F23" s="2"/>
      <c r="G23" s="2"/>
      <c r="H23" s="2"/>
      <c r="I23" s="2"/>
      <c r="J23" s="2"/>
      <c r="K23" s="2"/>
      <c r="L23" s="2"/>
      <c r="M23" s="19"/>
    </row>
    <row r="24" spans="1:15" x14ac:dyDescent="0.25">
      <c r="C24" s="2"/>
      <c r="D24" s="26"/>
      <c r="E24" s="2"/>
      <c r="F24" s="2"/>
      <c r="G24" s="2"/>
      <c r="H24" s="2"/>
      <c r="I24" s="2"/>
      <c r="J24" s="2"/>
      <c r="K24" s="2"/>
      <c r="L24" s="2"/>
      <c r="M24" s="19"/>
    </row>
    <row r="25" spans="1:15" s="22" customFormat="1" x14ac:dyDescent="0.25">
      <c r="A25" s="20" t="s">
        <v>2</v>
      </c>
      <c r="B25" s="20" t="s">
        <v>32</v>
      </c>
      <c r="C25" s="21" t="s">
        <v>77</v>
      </c>
      <c r="D25" s="21" t="s">
        <v>4</v>
      </c>
      <c r="E25" s="21" t="s">
        <v>48</v>
      </c>
      <c r="F25" s="21" t="s">
        <v>49</v>
      </c>
      <c r="G25" s="21"/>
      <c r="H25" s="21"/>
      <c r="I25" s="21"/>
      <c r="J25" s="21"/>
      <c r="K25" s="21"/>
      <c r="L25" s="21" t="s">
        <v>31</v>
      </c>
      <c r="M25" s="21" t="s">
        <v>8</v>
      </c>
      <c r="N25" s="2"/>
      <c r="O25" s="2"/>
    </row>
    <row r="26" spans="1:15" x14ac:dyDescent="0.25">
      <c r="A26" s="2" t="s">
        <v>50</v>
      </c>
      <c r="B26" s="2" t="s">
        <v>52</v>
      </c>
      <c r="C26" s="2" t="s">
        <v>78</v>
      </c>
      <c r="D26" s="26">
        <v>45931</v>
      </c>
      <c r="E26" s="2" t="s">
        <v>54</v>
      </c>
      <c r="F26" s="2" t="s">
        <v>55</v>
      </c>
      <c r="G26" s="2"/>
      <c r="H26" s="2"/>
      <c r="I26" s="2"/>
      <c r="J26" s="2"/>
      <c r="K26" s="2"/>
      <c r="L26" s="2" t="s">
        <v>56</v>
      </c>
      <c r="M26" s="19">
        <v>275782.91349999997</v>
      </c>
    </row>
    <row r="27" spans="1:15" x14ac:dyDescent="0.25">
      <c r="A27" s="2" t="s">
        <v>51</v>
      </c>
      <c r="B27" s="2" t="s">
        <v>53</v>
      </c>
      <c r="C27" s="2" t="s">
        <v>78</v>
      </c>
      <c r="D27" s="26">
        <v>45931</v>
      </c>
      <c r="E27" s="2" t="s">
        <v>58</v>
      </c>
      <c r="F27" s="2" t="s">
        <v>57</v>
      </c>
      <c r="G27" s="2"/>
      <c r="H27" s="2"/>
      <c r="I27" s="2"/>
      <c r="J27" s="2"/>
      <c r="K27" s="2"/>
      <c r="L27" s="2" t="s">
        <v>56</v>
      </c>
      <c r="M27" s="19">
        <v>953762.74970000016</v>
      </c>
    </row>
    <row r="28" spans="1:15" x14ac:dyDescent="0.25">
      <c r="C28" s="2"/>
      <c r="D28" s="23"/>
      <c r="E28" s="2"/>
      <c r="F28" s="2"/>
      <c r="G28" s="2"/>
      <c r="H28" s="2"/>
      <c r="I28" s="2"/>
      <c r="J28" s="2"/>
      <c r="K28" s="2"/>
      <c r="L28" s="2"/>
      <c r="M28" s="19"/>
    </row>
    <row r="29" spans="1:15" ht="15.75" x14ac:dyDescent="0.25">
      <c r="A29"/>
      <c r="L29" s="30" t="s">
        <v>47</v>
      </c>
      <c r="M29" s="24">
        <f>SUM(M26:M27)</f>
        <v>1229545.6632000001</v>
      </c>
      <c r="N29" s="25" t="s">
        <v>9</v>
      </c>
    </row>
    <row r="30" spans="1:15" ht="15.75" x14ac:dyDescent="0.25">
      <c r="A30" s="5" t="s">
        <v>22</v>
      </c>
      <c r="M30" s="24">
        <f>M29/277.78</f>
        <v>4426.3289768881859</v>
      </c>
      <c r="N30" s="25" t="s">
        <v>79</v>
      </c>
    </row>
    <row r="31" spans="1:15" x14ac:dyDescent="0.25">
      <c r="A31" s="1" t="s">
        <v>23</v>
      </c>
    </row>
    <row r="32" spans="1:15" x14ac:dyDescent="0.25"/>
    <row r="33" x14ac:dyDescent="0.25"/>
    <row r="34" x14ac:dyDescent="0.25"/>
    <row r="35" x14ac:dyDescent="0.25"/>
  </sheetData>
  <sortState xmlns:xlrd2="http://schemas.microsoft.com/office/spreadsheetml/2017/richdata2" ref="B21:N208">
    <sortCondition ref="L21:L208"/>
  </sortState>
  <mergeCells count="1">
    <mergeCell ref="A2:M2"/>
  </mergeCells>
  <pageMargins left="0.7" right="0.7" top="0.75" bottom="0.75" header="0.3" footer="0.3"/>
  <pageSetup paperSize="9" orientation="portrait" horizontalDpi="4294967294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383"/>
  <sheetViews>
    <sheetView workbookViewId="0">
      <selection activeCell="F109" sqref="F109"/>
    </sheetView>
  </sheetViews>
  <sheetFormatPr defaultColWidth="0" defaultRowHeight="15" zeroHeight="1" x14ac:dyDescent="0.25"/>
  <cols>
    <col min="1" max="1" width="16.28515625" style="2" customWidth="1"/>
    <col min="2" max="14" width="10.7109375" style="2" customWidth="1"/>
    <col min="15" max="16384" width="9.140625" style="2" hidden="1"/>
  </cols>
  <sheetData>
    <row r="1" spans="1:14" x14ac:dyDescent="0.25"/>
    <row r="2" spans="1:14" x14ac:dyDescent="0.25">
      <c r="A2" s="27" t="str">
        <f>'Site List'!A2:M2</f>
        <v>REQUEST FOR PROPOSAL - THE EDEN PARK TRUST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K4" s="6"/>
      <c r="L4" s="6"/>
      <c r="M4" s="6"/>
    </row>
    <row r="5" spans="1:14" x14ac:dyDescent="0.25">
      <c r="A5" s="7" t="s">
        <v>0</v>
      </c>
      <c r="B5" s="4" t="str">
        <f>'Site List'!B4</f>
        <v>Private Bag 56906, Mount Eden, Auckland 1446</v>
      </c>
      <c r="C5" s="6"/>
      <c r="D5" s="6"/>
      <c r="E5" s="6"/>
      <c r="F5" s="6"/>
      <c r="G5" s="6"/>
      <c r="H5" s="6"/>
      <c r="K5" s="6"/>
      <c r="L5" s="6"/>
      <c r="M5" s="6"/>
    </row>
    <row r="6" spans="1:14" x14ac:dyDescent="0.25">
      <c r="A6" s="7"/>
      <c r="B6" s="6"/>
      <c r="C6" s="6"/>
      <c r="D6" s="6"/>
      <c r="E6" s="6"/>
      <c r="F6" s="6"/>
      <c r="G6" s="6"/>
      <c r="H6" s="6"/>
      <c r="K6" s="6"/>
      <c r="L6" s="6"/>
      <c r="M6" s="6"/>
    </row>
    <row r="7" spans="1:14" x14ac:dyDescent="0.25">
      <c r="A7" s="7" t="s">
        <v>1</v>
      </c>
      <c r="B7" s="4" t="str">
        <f>VLOOKUP(B8,'Site List'!$A$9:$M$21,2,FALSE)</f>
        <v>2 A Reimers Avenue, Morningside, Auckland</v>
      </c>
      <c r="C7" s="6"/>
      <c r="D7" s="6"/>
      <c r="E7" s="6"/>
      <c r="F7" s="6"/>
    </row>
    <row r="8" spans="1:14" x14ac:dyDescent="0.25">
      <c r="A8" s="7" t="s">
        <v>2</v>
      </c>
      <c r="B8" s="13" t="str">
        <f>'Site List'!A9</f>
        <v>0132426315LC55E</v>
      </c>
      <c r="C8" s="6"/>
      <c r="D8" s="6"/>
      <c r="E8" s="6"/>
      <c r="F8" s="6"/>
    </row>
    <row r="9" spans="1:14" x14ac:dyDescent="0.25">
      <c r="A9" s="7" t="s">
        <v>3</v>
      </c>
      <c r="B9" s="14" t="str">
        <f>VLOOKUP(B8,'Site List'!$A$9:$M$21,3,FALSE)</f>
        <v>ROS1101</v>
      </c>
      <c r="C9" s="6"/>
      <c r="D9" s="6"/>
      <c r="E9" s="6"/>
      <c r="F9" s="6"/>
    </row>
    <row r="10" spans="1:14" x14ac:dyDescent="0.25">
      <c r="A10" s="7" t="s">
        <v>4</v>
      </c>
      <c r="B10" s="14">
        <f>VLOOKUP(B8,'Site List'!$A$9:$M$21,4,FALSE)</f>
        <v>46054</v>
      </c>
      <c r="C10" s="6"/>
      <c r="D10" s="6"/>
      <c r="E10" s="6"/>
      <c r="F10" s="6"/>
    </row>
    <row r="11" spans="1:14" x14ac:dyDescent="0.25">
      <c r="A11" s="7" t="s">
        <v>5</v>
      </c>
      <c r="B11" s="14" t="str">
        <f>VLOOKUP(B8,'Site List'!$A$9:$M$21,5,FALSE)</f>
        <v>AHVT</v>
      </c>
      <c r="C11" s="8" t="s">
        <v>33</v>
      </c>
      <c r="D11" s="16" t="str">
        <f>VLOOKUP(B8,'Site List'!$A$9:$M$21,8,FALSE)</f>
        <v/>
      </c>
      <c r="E11" s="6"/>
      <c r="F11" s="6"/>
    </row>
    <row r="12" spans="1:14" x14ac:dyDescent="0.25">
      <c r="A12" s="7" t="s">
        <v>6</v>
      </c>
      <c r="B12" s="4" t="str">
        <f>VLOOKUP(B8,'Site List'!$A$9:$M$21,6,FALSE)</f>
        <v>VECA3</v>
      </c>
      <c r="C12" s="8" t="s">
        <v>24</v>
      </c>
      <c r="D12" s="16">
        <f>VLOOKUP(B8,'Site List'!$A$9:$M$21,7,FALSE)</f>
        <v>650</v>
      </c>
      <c r="E12" s="6"/>
      <c r="F12" s="6"/>
    </row>
    <row r="13" spans="1:14" x14ac:dyDescent="0.25">
      <c r="A13" s="7" t="s">
        <v>13</v>
      </c>
      <c r="B13" s="4" t="str">
        <f>VLOOKUP(B8,'Site List'!$A$9:$M$21,9,FALSE)</f>
        <v>AMCI</v>
      </c>
      <c r="C13" s="8" t="s">
        <v>14</v>
      </c>
      <c r="D13" s="16">
        <f>VLOOKUP(B8,'Site List'!$A$9:$M$21,10,FALSE)</f>
        <v>4</v>
      </c>
      <c r="E13" s="6"/>
      <c r="F13" s="6"/>
    </row>
    <row r="14" spans="1:14" x14ac:dyDescent="0.25">
      <c r="A14" s="7" t="s">
        <v>15</v>
      </c>
      <c r="B14" s="4" t="str">
        <f>VLOOKUP(B8,'Site List'!$A$9:$M$21,11,FALSE)</f>
        <v>L</v>
      </c>
      <c r="C14" s="7"/>
      <c r="D14" s="6"/>
      <c r="E14" s="6"/>
      <c r="F14" s="6"/>
    </row>
    <row r="15" spans="1:14" x14ac:dyDescent="0.25">
      <c r="A15" s="7" t="s">
        <v>7</v>
      </c>
      <c r="B15" s="4" t="str">
        <f>VLOOKUP(B8,'Site List'!$A$9:$M$21,12,FALSE)</f>
        <v>Mercury</v>
      </c>
      <c r="C15" s="6"/>
      <c r="D15" s="6"/>
      <c r="E15" s="6"/>
      <c r="F15" s="6"/>
    </row>
    <row r="16" spans="1:14" x14ac:dyDescent="0.25">
      <c r="A16" s="7" t="s">
        <v>8</v>
      </c>
      <c r="B16" s="15">
        <f>SUM(B20:E31)</f>
        <v>1403702.4900000005</v>
      </c>
      <c r="C16" s="6" t="s">
        <v>9</v>
      </c>
      <c r="D16" s="6"/>
      <c r="E16" s="6"/>
      <c r="F16" s="6"/>
    </row>
    <row r="17" spans="1:6" x14ac:dyDescent="0.25">
      <c r="A17" s="6"/>
      <c r="B17" s="7"/>
      <c r="C17" s="7"/>
      <c r="D17" s="7"/>
      <c r="E17" s="7"/>
      <c r="F17" s="6"/>
    </row>
    <row r="18" spans="1:6" x14ac:dyDescent="0.25">
      <c r="A18" s="7" t="s">
        <v>10</v>
      </c>
      <c r="B18" s="28" t="s">
        <v>25</v>
      </c>
      <c r="C18" s="28"/>
      <c r="D18" s="28" t="s">
        <v>34</v>
      </c>
      <c r="E18" s="28"/>
      <c r="F18" s="6"/>
    </row>
    <row r="19" spans="1:6" ht="15.75" thickBot="1" x14ac:dyDescent="0.3">
      <c r="A19" s="9"/>
      <c r="B19" s="10" t="s">
        <v>11</v>
      </c>
      <c r="C19" s="10" t="s">
        <v>12</v>
      </c>
      <c r="D19" s="10" t="s">
        <v>11</v>
      </c>
      <c r="E19" s="10" t="s">
        <v>12</v>
      </c>
      <c r="F19" s="6"/>
    </row>
    <row r="20" spans="1:6" x14ac:dyDescent="0.25">
      <c r="A20" s="9">
        <f>B10</f>
        <v>46054</v>
      </c>
      <c r="B20" s="11">
        <f>SUM('144 Part'!B20:C20)</f>
        <v>20820.480000000014</v>
      </c>
      <c r="C20" s="11">
        <f>SUM('144 Part'!D20:G20)</f>
        <v>51114.880000000012</v>
      </c>
      <c r="D20" s="11">
        <f>SUM('144 Part'!H20:I20)</f>
        <v>8285.2400000000016</v>
      </c>
      <c r="E20" s="11">
        <f>SUM('144 Part'!J20:M20)</f>
        <v>20609.160000000003</v>
      </c>
      <c r="F20" s="6"/>
    </row>
    <row r="21" spans="1:6" x14ac:dyDescent="0.25">
      <c r="A21" s="9">
        <f>DATE(YEAR(A20),MONTH(A20)+1,DAY(A20))</f>
        <v>46082</v>
      </c>
      <c r="B21" s="11">
        <f>SUM('144 Part'!B21:C21)</f>
        <v>23047.120000000003</v>
      </c>
      <c r="C21" s="11">
        <f>SUM('144 Part'!D21:G21)</f>
        <v>62829.369999999995</v>
      </c>
      <c r="D21" s="11">
        <f>SUM('144 Part'!H21:I21)</f>
        <v>11461.880000000003</v>
      </c>
      <c r="E21" s="11">
        <f>SUM('144 Part'!J21:M21)</f>
        <v>25105.320000000007</v>
      </c>
      <c r="F21" s="6"/>
    </row>
    <row r="22" spans="1:6" x14ac:dyDescent="0.25">
      <c r="A22" s="9">
        <f t="shared" ref="A22:A31" si="0">DATE(YEAR(A21),MONTH(A21)+1,DAY(A21))</f>
        <v>46113</v>
      </c>
      <c r="B22" s="11">
        <f>SUM('144 Part'!B22:C22)</f>
        <v>24176.999999999993</v>
      </c>
      <c r="C22" s="11">
        <f>SUM('144 Part'!D22:G22)</f>
        <v>56895.92</v>
      </c>
      <c r="D22" s="11">
        <f>SUM('144 Part'!H22:I22)</f>
        <v>9279.52</v>
      </c>
      <c r="E22" s="11">
        <f>SUM('144 Part'!J22:M22)</f>
        <v>24257.720000000005</v>
      </c>
      <c r="F22" s="6"/>
    </row>
    <row r="23" spans="1:6" x14ac:dyDescent="0.25">
      <c r="A23" s="9">
        <f t="shared" si="0"/>
        <v>46143</v>
      </c>
      <c r="B23" s="11">
        <f>SUM('144 Part'!B23:C23)</f>
        <v>26464.28</v>
      </c>
      <c r="C23" s="11">
        <f>SUM('144 Part'!D23:G23)</f>
        <v>67966.16</v>
      </c>
      <c r="D23" s="11">
        <f>SUM('144 Part'!H23:I23)</f>
        <v>10989.359999999999</v>
      </c>
      <c r="E23" s="11">
        <f>SUM('144 Part'!J23:M23)</f>
        <v>26336.799999999999</v>
      </c>
      <c r="F23" s="6"/>
    </row>
    <row r="24" spans="1:6" x14ac:dyDescent="0.25">
      <c r="A24" s="9">
        <f t="shared" si="0"/>
        <v>46174</v>
      </c>
      <c r="B24" s="11">
        <f>SUM('144 Part'!B24:C24)</f>
        <v>24740.040000000008</v>
      </c>
      <c r="C24" s="11">
        <f>SUM('144 Part'!D24:G24)</f>
        <v>62786.479999999981</v>
      </c>
      <c r="D24" s="11">
        <f>SUM('144 Part'!H24:I24)</f>
        <v>10196.119999999999</v>
      </c>
      <c r="E24" s="11">
        <f>SUM('144 Part'!J24:M24)</f>
        <v>22749.96</v>
      </c>
      <c r="F24" s="6"/>
    </row>
    <row r="25" spans="1:6" x14ac:dyDescent="0.25">
      <c r="A25" s="9">
        <f t="shared" si="0"/>
        <v>46204</v>
      </c>
      <c r="B25" s="11">
        <f>SUM('144 Part'!B25:C25)</f>
        <v>31608.399999999994</v>
      </c>
      <c r="C25" s="11">
        <f>SUM('144 Part'!D25:G25)</f>
        <v>74988.080000000016</v>
      </c>
      <c r="D25" s="11">
        <f>SUM('144 Part'!H25:I25)</f>
        <v>11161.519999999999</v>
      </c>
      <c r="E25" s="11">
        <f>SUM('144 Part'!J25:M25)</f>
        <v>27044.399999999994</v>
      </c>
      <c r="F25" s="6"/>
    </row>
    <row r="26" spans="1:6" x14ac:dyDescent="0.25">
      <c r="A26" s="9">
        <f t="shared" si="0"/>
        <v>46235</v>
      </c>
      <c r="B26" s="11">
        <f>SUM('144 Part'!B26:C26)</f>
        <v>21774.959999999995</v>
      </c>
      <c r="C26" s="11">
        <f>SUM('144 Part'!D26:G26)</f>
        <v>54903.399999999994</v>
      </c>
      <c r="D26" s="11">
        <f>SUM('144 Part'!H26:I26)</f>
        <v>9894.36</v>
      </c>
      <c r="E26" s="11">
        <f>SUM('144 Part'!J26:M26)</f>
        <v>23878</v>
      </c>
      <c r="F26" s="6"/>
    </row>
    <row r="27" spans="1:6" x14ac:dyDescent="0.25">
      <c r="A27" s="9">
        <f t="shared" si="0"/>
        <v>46266</v>
      </c>
      <c r="B27" s="11">
        <f>SUM('144 Part'!B27:C27)</f>
        <v>22169.759999999995</v>
      </c>
      <c r="C27" s="11">
        <f>SUM('144 Part'!D27:G27)</f>
        <v>53140.160000000003</v>
      </c>
      <c r="D27" s="11">
        <f>SUM('144 Part'!H27:I27)</f>
        <v>8792.5600000000013</v>
      </c>
      <c r="E27" s="11">
        <f>SUM('144 Part'!J27:M27)</f>
        <v>21007.079999999998</v>
      </c>
      <c r="F27" s="6"/>
    </row>
    <row r="28" spans="1:6" x14ac:dyDescent="0.25">
      <c r="A28" s="9">
        <f t="shared" si="0"/>
        <v>46296</v>
      </c>
      <c r="B28" s="11">
        <f>SUM('144 Part'!B28:C28)</f>
        <v>26396.639999999999</v>
      </c>
      <c r="C28" s="11">
        <f>SUM('144 Part'!D28:G28)</f>
        <v>63609.08</v>
      </c>
      <c r="D28" s="11">
        <f>SUM('144 Part'!H28:I28)</f>
        <v>8735</v>
      </c>
      <c r="E28" s="11">
        <f>SUM('144 Part'!J28:M28)</f>
        <v>19109.799999999996</v>
      </c>
      <c r="F28" s="6"/>
    </row>
    <row r="29" spans="1:6" x14ac:dyDescent="0.25">
      <c r="A29" s="9">
        <f t="shared" si="0"/>
        <v>46327</v>
      </c>
      <c r="B29" s="11">
        <f>SUM('144 Part'!B29:C29)</f>
        <v>24186</v>
      </c>
      <c r="C29" s="11">
        <f>SUM('144 Part'!D29:G29)</f>
        <v>59282.400000000031</v>
      </c>
      <c r="D29" s="11">
        <f>SUM('144 Part'!H29:I29)</f>
        <v>10762.080000000002</v>
      </c>
      <c r="E29" s="11">
        <f>SUM('144 Part'!J29:M29)</f>
        <v>24003.199999999997</v>
      </c>
      <c r="F29" s="6"/>
    </row>
    <row r="30" spans="1:6" x14ac:dyDescent="0.25">
      <c r="A30" s="9">
        <f t="shared" si="0"/>
        <v>46357</v>
      </c>
      <c r="B30" s="11">
        <f>SUM('144 Part'!B30:C30)</f>
        <v>21875.559999999998</v>
      </c>
      <c r="C30" s="11">
        <f>SUM('144 Part'!D30:G30)</f>
        <v>51286.319999999992</v>
      </c>
      <c r="D30" s="11">
        <f>SUM('144 Part'!H30:I30)</f>
        <v>8727.7200000000012</v>
      </c>
      <c r="E30" s="11">
        <f>SUM('144 Part'!J30:M30)</f>
        <v>19273.599999999999</v>
      </c>
      <c r="F30" s="6"/>
    </row>
    <row r="31" spans="1:6" x14ac:dyDescent="0.25">
      <c r="A31" s="9">
        <f t="shared" si="0"/>
        <v>46388</v>
      </c>
      <c r="B31" s="11">
        <f>SUM('144 Part'!B31:C31)</f>
        <v>23852.12000000001</v>
      </c>
      <c r="C31" s="11">
        <f>SUM('144 Part'!D31:G31)</f>
        <v>60391.24000000002</v>
      </c>
      <c r="D31" s="11">
        <f>SUM('144 Part'!H31:I31)</f>
        <v>9255.9600000000028</v>
      </c>
      <c r="E31" s="11">
        <f>SUM('144 Part'!J31:M31)</f>
        <v>22480.280000000002</v>
      </c>
      <c r="F31" s="6"/>
    </row>
    <row r="32" spans="1:6" x14ac:dyDescent="0.25"/>
    <row r="33" spans="1:6" x14ac:dyDescent="0.25">
      <c r="A33" s="7" t="s">
        <v>1</v>
      </c>
      <c r="B33" s="4" t="str">
        <f>VLOOKUP(B34,'Site List'!$A$9:$M$21,2,FALSE)</f>
        <v>Walters Road, Kingsland, Auckland</v>
      </c>
      <c r="C33" s="6"/>
      <c r="D33" s="6"/>
      <c r="E33" s="6"/>
      <c r="F33" s="6"/>
    </row>
    <row r="34" spans="1:6" x14ac:dyDescent="0.25">
      <c r="A34" s="7" t="s">
        <v>2</v>
      </c>
      <c r="B34" s="13" t="str">
        <f>'Site List'!A10</f>
        <v>0138572097LCAAE</v>
      </c>
      <c r="C34" s="6"/>
      <c r="D34" s="6"/>
      <c r="E34" s="6"/>
      <c r="F34" s="6"/>
    </row>
    <row r="35" spans="1:6" x14ac:dyDescent="0.25">
      <c r="A35" s="7" t="s">
        <v>3</v>
      </c>
      <c r="B35" s="14" t="str">
        <f>VLOOKUP(B34,'Site List'!$A$9:$M$21,3,FALSE)</f>
        <v>ROS1101</v>
      </c>
      <c r="C35" s="6"/>
      <c r="D35" s="6"/>
      <c r="E35" s="6"/>
      <c r="F35" s="6"/>
    </row>
    <row r="36" spans="1:6" x14ac:dyDescent="0.25">
      <c r="A36" s="7" t="s">
        <v>4</v>
      </c>
      <c r="B36" s="14">
        <f>VLOOKUP(B34,'Site List'!$A$9:$M$21,4,FALSE)</f>
        <v>46054</v>
      </c>
      <c r="C36" s="6"/>
      <c r="D36" s="6"/>
      <c r="E36" s="6"/>
      <c r="F36" s="6"/>
    </row>
    <row r="37" spans="1:6" x14ac:dyDescent="0.25">
      <c r="A37" s="7" t="s">
        <v>5</v>
      </c>
      <c r="B37" s="14" t="str">
        <f>VLOOKUP(B34,'Site List'!$A$9:$M$21,5,FALSE)</f>
        <v>ATXT</v>
      </c>
      <c r="C37" s="8" t="s">
        <v>33</v>
      </c>
      <c r="D37" s="16" t="str">
        <f>VLOOKUP(B34,'Site List'!$A$9:$M$21,8,FALSE)</f>
        <v/>
      </c>
      <c r="E37" s="6"/>
      <c r="F37" s="6"/>
    </row>
    <row r="38" spans="1:6" x14ac:dyDescent="0.25">
      <c r="A38" s="7" t="s">
        <v>6</v>
      </c>
      <c r="B38" s="4" t="str">
        <f>VLOOKUP(B34,'Site List'!$A$9:$M$21,6,FALSE)</f>
        <v>VECA3</v>
      </c>
      <c r="C38" s="8" t="s">
        <v>24</v>
      </c>
      <c r="D38" s="16">
        <f>VLOOKUP(B34,'Site List'!$A$9:$M$21,7,FALSE)</f>
        <v>750</v>
      </c>
      <c r="E38" s="6"/>
      <c r="F38" s="6"/>
    </row>
    <row r="39" spans="1:6" x14ac:dyDescent="0.25">
      <c r="A39" s="7" t="s">
        <v>13</v>
      </c>
      <c r="B39" s="4" t="str">
        <f>VLOOKUP(B34,'Site List'!$A$9:$M$21,9,FALSE)</f>
        <v>AMCI</v>
      </c>
      <c r="C39" s="8" t="s">
        <v>14</v>
      </c>
      <c r="D39" s="16">
        <f>VLOOKUP(B34,'Site List'!$A$9:$M$21,10,FALSE)</f>
        <v>4</v>
      </c>
      <c r="E39" s="6"/>
      <c r="F39" s="6"/>
    </row>
    <row r="40" spans="1:6" x14ac:dyDescent="0.25">
      <c r="A40" s="7" t="s">
        <v>15</v>
      </c>
      <c r="B40" s="4" t="str">
        <f>VLOOKUP(B34,'Site List'!$A$9:$M$21,11,FALSE)</f>
        <v>L</v>
      </c>
      <c r="C40" s="7"/>
      <c r="D40" s="6"/>
      <c r="E40" s="6"/>
      <c r="F40" s="6"/>
    </row>
    <row r="41" spans="1:6" x14ac:dyDescent="0.25">
      <c r="A41" s="7" t="s">
        <v>7</v>
      </c>
      <c r="B41" s="4" t="str">
        <f>VLOOKUP(B34,'Site List'!$A$9:$M$21,12,FALSE)</f>
        <v>Mercury</v>
      </c>
      <c r="C41" s="6"/>
      <c r="D41" s="6"/>
      <c r="E41" s="6"/>
      <c r="F41" s="6"/>
    </row>
    <row r="42" spans="1:6" x14ac:dyDescent="0.25">
      <c r="A42" s="7" t="s">
        <v>8</v>
      </c>
      <c r="B42" s="15">
        <f>SUM(B46:E57)</f>
        <v>1294789.1519999998</v>
      </c>
      <c r="C42" s="6" t="s">
        <v>9</v>
      </c>
      <c r="D42" s="6"/>
      <c r="E42" s="6"/>
      <c r="F42" s="6"/>
    </row>
    <row r="43" spans="1:6" x14ac:dyDescent="0.25">
      <c r="A43" s="6"/>
      <c r="B43" s="7"/>
      <c r="C43" s="7"/>
      <c r="D43" s="7"/>
      <c r="E43" s="7"/>
      <c r="F43" s="6"/>
    </row>
    <row r="44" spans="1:6" x14ac:dyDescent="0.25">
      <c r="A44" s="7" t="s">
        <v>10</v>
      </c>
      <c r="B44" s="28" t="s">
        <v>25</v>
      </c>
      <c r="C44" s="28"/>
      <c r="D44" s="28" t="s">
        <v>34</v>
      </c>
      <c r="E44" s="28"/>
      <c r="F44" s="6"/>
    </row>
    <row r="45" spans="1:6" ht="15.75" thickBot="1" x14ac:dyDescent="0.3">
      <c r="A45" s="9"/>
      <c r="B45" s="10" t="s">
        <v>11</v>
      </c>
      <c r="C45" s="10" t="s">
        <v>12</v>
      </c>
      <c r="D45" s="10" t="s">
        <v>11</v>
      </c>
      <c r="E45" s="10" t="s">
        <v>12</v>
      </c>
      <c r="F45" s="6"/>
    </row>
    <row r="46" spans="1:6" x14ac:dyDescent="0.25">
      <c r="A46" s="9">
        <f>B36</f>
        <v>46054</v>
      </c>
      <c r="B46" s="11">
        <f>SUM('144 Part'!B46:C46)</f>
        <v>17292.160000000003</v>
      </c>
      <c r="C46" s="11">
        <f>SUM('144 Part'!D46:G46)</f>
        <v>49905.087999999996</v>
      </c>
      <c r="D46" s="11">
        <f>SUM('144 Part'!H46:I46)</f>
        <v>6957.7920000000004</v>
      </c>
      <c r="E46" s="11">
        <f>SUM('144 Part'!J46:M46)</f>
        <v>19050.464</v>
      </c>
      <c r="F46" s="6"/>
    </row>
    <row r="47" spans="1:6" x14ac:dyDescent="0.25">
      <c r="A47" s="9">
        <f>DATE(YEAR(A46),MONTH(A46)+1,DAY(A46))</f>
        <v>46082</v>
      </c>
      <c r="B47" s="11">
        <f>SUM('144 Part'!B47:C47)</f>
        <v>18488.032000000007</v>
      </c>
      <c r="C47" s="11">
        <f>SUM('144 Part'!D47:G47)</f>
        <v>57052.639999999999</v>
      </c>
      <c r="D47" s="11">
        <f>SUM('144 Part'!H47:I47)</f>
        <v>10182.911999999998</v>
      </c>
      <c r="E47" s="11">
        <f>SUM('144 Part'!J47:M47)</f>
        <v>24371.391999999996</v>
      </c>
      <c r="F47" s="6"/>
    </row>
    <row r="48" spans="1:6" x14ac:dyDescent="0.25">
      <c r="A48" s="9">
        <f t="shared" ref="A48:A57" si="1">DATE(YEAR(A47),MONTH(A47)+1,DAY(A47))</f>
        <v>46113</v>
      </c>
      <c r="B48" s="11">
        <f>SUM('144 Part'!B48:C48)</f>
        <v>18355.455999999998</v>
      </c>
      <c r="C48" s="11">
        <f>SUM('144 Part'!D48:G48)</f>
        <v>48576.832000000017</v>
      </c>
      <c r="D48" s="11">
        <f>SUM('144 Part'!H48:I48)</f>
        <v>7240.7680000000009</v>
      </c>
      <c r="E48" s="11">
        <f>SUM('144 Part'!J48:M48)</f>
        <v>20079.80799999999</v>
      </c>
      <c r="F48" s="6"/>
    </row>
    <row r="49" spans="1:6" x14ac:dyDescent="0.25">
      <c r="A49" s="9">
        <f t="shared" si="1"/>
        <v>46143</v>
      </c>
      <c r="B49" s="11">
        <f>SUM('144 Part'!B49:C49)</f>
        <v>26328.832000000002</v>
      </c>
      <c r="C49" s="11">
        <f>SUM('144 Part'!D49:G49)</f>
        <v>62644.928000000014</v>
      </c>
      <c r="D49" s="11">
        <f>SUM('144 Part'!H49:I49)</f>
        <v>9183.775999999998</v>
      </c>
      <c r="E49" s="11">
        <f>SUM('144 Part'!J49:M49)</f>
        <v>22458.655999999999</v>
      </c>
      <c r="F49" s="6"/>
    </row>
    <row r="50" spans="1:6" x14ac:dyDescent="0.25">
      <c r="A50" s="9">
        <f t="shared" si="1"/>
        <v>46174</v>
      </c>
      <c r="B50" s="11">
        <f>SUM('144 Part'!B50:C50)</f>
        <v>24748.256000000008</v>
      </c>
      <c r="C50" s="11">
        <f>SUM('144 Part'!D50:G50)</f>
        <v>55821.311999999998</v>
      </c>
      <c r="D50" s="11">
        <f>SUM('144 Part'!H50:I50)</f>
        <v>9229.0240000000013</v>
      </c>
      <c r="E50" s="11">
        <f>SUM('144 Part'!J50:M50)</f>
        <v>19183.008000000002</v>
      </c>
      <c r="F50" s="6"/>
    </row>
    <row r="51" spans="1:6" x14ac:dyDescent="0.25">
      <c r="A51" s="9">
        <f t="shared" si="1"/>
        <v>46204</v>
      </c>
      <c r="B51" s="11">
        <f>SUM('144 Part'!B51:C51)</f>
        <v>25939.360000000001</v>
      </c>
      <c r="C51" s="11">
        <f>SUM('144 Part'!D51:G51)</f>
        <v>69194.368000000017</v>
      </c>
      <c r="D51" s="11">
        <f>SUM('144 Part'!H51:I51)</f>
        <v>9532.0960000000014</v>
      </c>
      <c r="E51" s="11">
        <f>SUM('144 Part'!J51:M51)</f>
        <v>25065.408000000003</v>
      </c>
      <c r="F51" s="6"/>
    </row>
    <row r="52" spans="1:6" x14ac:dyDescent="0.25">
      <c r="A52" s="9">
        <f t="shared" si="1"/>
        <v>46235</v>
      </c>
      <c r="B52" s="11">
        <f>SUM('144 Part'!B52:C52)</f>
        <v>24549.72800000001</v>
      </c>
      <c r="C52" s="11">
        <f>SUM('144 Part'!D52:G52)</f>
        <v>65111.391999999993</v>
      </c>
      <c r="D52" s="11">
        <f>SUM('144 Part'!H52:I52)</f>
        <v>10520.447999999999</v>
      </c>
      <c r="E52" s="11">
        <f>SUM('144 Part'!J52:M52)</f>
        <v>25559.072</v>
      </c>
      <c r="F52" s="6"/>
    </row>
    <row r="53" spans="1:6" x14ac:dyDescent="0.25">
      <c r="A53" s="9">
        <f t="shared" si="1"/>
        <v>46266</v>
      </c>
      <c r="B53" s="11">
        <f>SUM('144 Part'!B53:C53)</f>
        <v>22868.287999999993</v>
      </c>
      <c r="C53" s="11">
        <f>SUM('144 Part'!D53:G53)</f>
        <v>56615.519999999997</v>
      </c>
      <c r="D53" s="11">
        <f>SUM('144 Part'!H53:I53)</f>
        <v>9949.9520000000011</v>
      </c>
      <c r="E53" s="11">
        <f>SUM('144 Part'!J53:M53)</f>
        <v>23843.359999999997</v>
      </c>
      <c r="F53" s="6"/>
    </row>
    <row r="54" spans="1:6" x14ac:dyDescent="0.25">
      <c r="A54" s="9">
        <f t="shared" si="1"/>
        <v>46296</v>
      </c>
      <c r="B54" s="11">
        <f>SUM('144 Part'!B54:C54)</f>
        <v>22697.664000000001</v>
      </c>
      <c r="C54" s="11">
        <f>SUM('144 Part'!D54:G54)</f>
        <v>51421.471999999994</v>
      </c>
      <c r="D54" s="11">
        <f>SUM('144 Part'!H54:I54)</f>
        <v>7760.7039999999988</v>
      </c>
      <c r="E54" s="11">
        <f>SUM('144 Part'!J54:M54)</f>
        <v>14765.151999999995</v>
      </c>
      <c r="F54" s="6"/>
    </row>
    <row r="55" spans="1:6" x14ac:dyDescent="0.25">
      <c r="A55" s="9">
        <f t="shared" si="1"/>
        <v>46327</v>
      </c>
      <c r="B55" s="11">
        <f>SUM('144 Part'!B55:C55)</f>
        <v>22398.368000000002</v>
      </c>
      <c r="C55" s="11">
        <f>SUM('144 Part'!D55:G55)</f>
        <v>53160.511999999995</v>
      </c>
      <c r="D55" s="11">
        <f>SUM('144 Part'!H55:I55)</f>
        <v>10142.176000000001</v>
      </c>
      <c r="E55" s="11">
        <f>SUM('144 Part'!J55:M55)</f>
        <v>20972.224000000002</v>
      </c>
      <c r="F55" s="6"/>
    </row>
    <row r="56" spans="1:6" x14ac:dyDescent="0.25">
      <c r="A56" s="9">
        <f t="shared" si="1"/>
        <v>46357</v>
      </c>
      <c r="B56" s="11">
        <f>SUM('144 Part'!B56:C56)</f>
        <v>18975.679999999993</v>
      </c>
      <c r="C56" s="11">
        <f>SUM('144 Part'!D56:G56)</f>
        <v>50195.327999999987</v>
      </c>
      <c r="D56" s="11">
        <f>SUM('144 Part'!H56:I56)</f>
        <v>7690.3040000000019</v>
      </c>
      <c r="E56" s="11">
        <f>SUM('144 Part'!J56:M56)</f>
        <v>17546.719999999998</v>
      </c>
      <c r="F56" s="6"/>
    </row>
    <row r="57" spans="1:6" x14ac:dyDescent="0.25">
      <c r="A57" s="9">
        <f t="shared" si="1"/>
        <v>46388</v>
      </c>
      <c r="B57" s="11">
        <f>SUM('144 Part'!B57:C57)</f>
        <v>19525.599999999999</v>
      </c>
      <c r="C57" s="11">
        <f>SUM('144 Part'!D57:G57)</f>
        <v>52968.159999999996</v>
      </c>
      <c r="D57" s="11">
        <f>SUM('144 Part'!H57:I57)</f>
        <v>8240.0959999999995</v>
      </c>
      <c r="E57" s="11">
        <f>SUM('144 Part'!J57:M57)</f>
        <v>20428.863999999998</v>
      </c>
      <c r="F57" s="6"/>
    </row>
    <row r="58" spans="1:6" x14ac:dyDescent="0.25"/>
    <row r="59" spans="1:6" x14ac:dyDescent="0.25">
      <c r="A59" s="7" t="s">
        <v>1</v>
      </c>
      <c r="B59" s="4" t="str">
        <f>VLOOKUP(B60,'Site List'!$A$9:$M$21,2,FALSE)</f>
        <v>Walters Road, Kingsland, Auckland</v>
      </c>
      <c r="C59" s="6"/>
      <c r="D59" s="6"/>
      <c r="E59" s="6"/>
      <c r="F59" s="6"/>
    </row>
    <row r="60" spans="1:6" x14ac:dyDescent="0.25">
      <c r="A60" s="7" t="s">
        <v>2</v>
      </c>
      <c r="B60" s="13" t="str">
        <f>'Site List'!A11</f>
        <v>0157195775LCCFD</v>
      </c>
      <c r="C60" s="6"/>
      <c r="D60" s="6"/>
      <c r="E60" s="6"/>
      <c r="F60" s="6"/>
    </row>
    <row r="61" spans="1:6" x14ac:dyDescent="0.25">
      <c r="A61" s="7" t="s">
        <v>3</v>
      </c>
      <c r="B61" s="14" t="str">
        <f>VLOOKUP(B60,'Site List'!$A$9:$M$21,3,FALSE)</f>
        <v>ROS1101</v>
      </c>
      <c r="C61" s="6"/>
      <c r="D61" s="6"/>
      <c r="E61" s="6"/>
      <c r="F61" s="6"/>
    </row>
    <row r="62" spans="1:6" x14ac:dyDescent="0.25">
      <c r="A62" s="7" t="s">
        <v>4</v>
      </c>
      <c r="B62" s="14">
        <f>VLOOKUP(B60,'Site List'!$A$9:$M$21,4,FALSE)</f>
        <v>46054</v>
      </c>
      <c r="C62" s="6"/>
      <c r="D62" s="6"/>
      <c r="E62" s="6"/>
      <c r="F62" s="6"/>
    </row>
    <row r="63" spans="1:6" x14ac:dyDescent="0.25">
      <c r="A63" s="7" t="s">
        <v>5</v>
      </c>
      <c r="B63" s="14" t="str">
        <f>VLOOKUP(B60,'Site List'!$A$9:$M$21,5,FALSE)</f>
        <v>ATXT</v>
      </c>
      <c r="C63" s="8" t="s">
        <v>33</v>
      </c>
      <c r="D63" s="16" t="str">
        <f>VLOOKUP(B60,'Site List'!$A$9:$M$21,8,FALSE)</f>
        <v/>
      </c>
      <c r="E63" s="6"/>
      <c r="F63" s="6"/>
    </row>
    <row r="64" spans="1:6" x14ac:dyDescent="0.25">
      <c r="A64" s="7" t="s">
        <v>6</v>
      </c>
      <c r="B64" s="4" t="str">
        <f>VLOOKUP(B60,'Site List'!$A$9:$M$21,6,FALSE)</f>
        <v>VECA3</v>
      </c>
      <c r="C64" s="8" t="s">
        <v>24</v>
      </c>
      <c r="D64" s="16">
        <f>VLOOKUP(B60,'Site List'!$A$9:$M$21,7,FALSE)</f>
        <v>1500</v>
      </c>
      <c r="E64" s="6"/>
      <c r="F64" s="6"/>
    </row>
    <row r="65" spans="1:6" x14ac:dyDescent="0.25">
      <c r="A65" s="7" t="s">
        <v>13</v>
      </c>
      <c r="B65" s="4" t="str">
        <f>VLOOKUP(B60,'Site List'!$A$9:$M$21,9,FALSE)</f>
        <v>AMCI</v>
      </c>
      <c r="C65" s="8" t="s">
        <v>14</v>
      </c>
      <c r="D65" s="16">
        <f>VLOOKUP(B60,'Site List'!$A$9:$M$21,10,FALSE)</f>
        <v>3</v>
      </c>
      <c r="E65" s="6"/>
      <c r="F65" s="6"/>
    </row>
    <row r="66" spans="1:6" x14ac:dyDescent="0.25">
      <c r="A66" s="7" t="s">
        <v>15</v>
      </c>
      <c r="B66" s="4" t="str">
        <f>VLOOKUP(B60,'Site List'!$A$9:$M$21,11,FALSE)</f>
        <v>L</v>
      </c>
      <c r="C66" s="7"/>
      <c r="D66" s="6"/>
      <c r="E66" s="6"/>
      <c r="F66" s="6"/>
    </row>
    <row r="67" spans="1:6" x14ac:dyDescent="0.25">
      <c r="A67" s="7" t="s">
        <v>7</v>
      </c>
      <c r="B67" s="4" t="str">
        <f>VLOOKUP(B60,'Site List'!$A$9:$M$21,12,FALSE)</f>
        <v>Mercury</v>
      </c>
      <c r="C67" s="6"/>
      <c r="D67" s="6"/>
      <c r="E67" s="6"/>
      <c r="F67" s="6"/>
    </row>
    <row r="68" spans="1:6" x14ac:dyDescent="0.25">
      <c r="A68" s="7" t="s">
        <v>8</v>
      </c>
      <c r="B68" s="15">
        <f>SUM(B72:E83)</f>
        <v>1695359.4479999999</v>
      </c>
      <c r="C68" s="6" t="s">
        <v>9</v>
      </c>
      <c r="D68" s="6"/>
      <c r="E68" s="6"/>
      <c r="F68" s="6"/>
    </row>
    <row r="69" spans="1:6" x14ac:dyDescent="0.25">
      <c r="A69" s="6"/>
      <c r="B69" s="7"/>
      <c r="C69" s="7"/>
      <c r="D69" s="7"/>
      <c r="E69" s="7"/>
      <c r="F69" s="6"/>
    </row>
    <row r="70" spans="1:6" x14ac:dyDescent="0.25">
      <c r="A70" s="7" t="s">
        <v>10</v>
      </c>
      <c r="B70" s="28" t="s">
        <v>25</v>
      </c>
      <c r="C70" s="28"/>
      <c r="D70" s="28" t="s">
        <v>34</v>
      </c>
      <c r="E70" s="28"/>
      <c r="F70" s="6"/>
    </row>
    <row r="71" spans="1:6" ht="15.75" thickBot="1" x14ac:dyDescent="0.3">
      <c r="A71" s="9"/>
      <c r="B71" s="10" t="s">
        <v>11</v>
      </c>
      <c r="C71" s="10" t="s">
        <v>12</v>
      </c>
      <c r="D71" s="10" t="s">
        <v>11</v>
      </c>
      <c r="E71" s="10" t="s">
        <v>12</v>
      </c>
      <c r="F71" s="6"/>
    </row>
    <row r="72" spans="1:6" x14ac:dyDescent="0.25">
      <c r="A72" s="9">
        <f>B62</f>
        <v>46054</v>
      </c>
      <c r="B72" s="11">
        <f>SUM('144 Part'!B72:C72)</f>
        <v>22017.071999999993</v>
      </c>
      <c r="C72" s="11">
        <f>SUM('144 Part'!D72:G72)</f>
        <v>54151.967999999979</v>
      </c>
      <c r="D72" s="11">
        <f>SUM('144 Part'!H72:I72)</f>
        <v>8940.9599999999991</v>
      </c>
      <c r="E72" s="11">
        <f>SUM('144 Part'!J72:M72)</f>
        <v>21104.472000000009</v>
      </c>
      <c r="F72" s="6"/>
    </row>
    <row r="73" spans="1:6" x14ac:dyDescent="0.25">
      <c r="A73" s="9">
        <f>DATE(YEAR(A72),MONTH(A72)+1,DAY(A72))</f>
        <v>46082</v>
      </c>
      <c r="B73" s="11">
        <f>SUM('144 Part'!B73:C73)</f>
        <v>25495.656000000003</v>
      </c>
      <c r="C73" s="11">
        <f>SUM('144 Part'!D73:G73)</f>
        <v>68746.559999999983</v>
      </c>
      <c r="D73" s="11">
        <f>SUM('144 Part'!H73:I73)</f>
        <v>13137.335999999998</v>
      </c>
      <c r="E73" s="11">
        <f>SUM('144 Part'!J73:M73)</f>
        <v>28123.248000000003</v>
      </c>
      <c r="F73" s="6"/>
    </row>
    <row r="74" spans="1:6" x14ac:dyDescent="0.25">
      <c r="A74" s="9">
        <f t="shared" ref="A74:A83" si="2">DATE(YEAR(A73),MONTH(A73)+1,DAY(A73))</f>
        <v>46113</v>
      </c>
      <c r="B74" s="11">
        <f>SUM('144 Part'!B74:C74)</f>
        <v>26304.816000000003</v>
      </c>
      <c r="C74" s="11">
        <f>SUM('144 Part'!D74:G74)</f>
        <v>63313.32</v>
      </c>
      <c r="D74" s="11">
        <f>SUM('144 Part'!H74:I74)</f>
        <v>10116.839999999998</v>
      </c>
      <c r="E74" s="11">
        <f>SUM('144 Part'!J74:M74)</f>
        <v>25378.824000000004</v>
      </c>
      <c r="F74" s="6"/>
    </row>
    <row r="75" spans="1:6" x14ac:dyDescent="0.25">
      <c r="A75" s="9">
        <f t="shared" si="2"/>
        <v>46143</v>
      </c>
      <c r="B75" s="11">
        <f>SUM('144 Part'!B75:C75)</f>
        <v>30979.823999999993</v>
      </c>
      <c r="C75" s="11">
        <f>SUM('144 Part'!D75:G75)</f>
        <v>81861.095999999961</v>
      </c>
      <c r="D75" s="11">
        <f>SUM('144 Part'!H75:I75)</f>
        <v>12868.992000000002</v>
      </c>
      <c r="E75" s="11">
        <f>SUM('144 Part'!J75:M75)</f>
        <v>30734.04</v>
      </c>
      <c r="F75" s="6"/>
    </row>
    <row r="76" spans="1:6" x14ac:dyDescent="0.25">
      <c r="A76" s="9">
        <f t="shared" si="2"/>
        <v>46174</v>
      </c>
      <c r="B76" s="11">
        <f>SUM('144 Part'!B76:C76)</f>
        <v>30246.671999999988</v>
      </c>
      <c r="C76" s="11">
        <f>SUM('144 Part'!D76:G76)</f>
        <v>68468.327999999994</v>
      </c>
      <c r="D76" s="11">
        <f>SUM('144 Part'!H76:I76)</f>
        <v>12471.216</v>
      </c>
      <c r="E76" s="11">
        <f>SUM('144 Part'!J76:M76)</f>
        <v>24792.240000000005</v>
      </c>
      <c r="F76" s="6"/>
    </row>
    <row r="77" spans="1:6" x14ac:dyDescent="0.25">
      <c r="A77" s="9">
        <f t="shared" si="2"/>
        <v>46204</v>
      </c>
      <c r="B77" s="11">
        <f>SUM('144 Part'!B77:C77)</f>
        <v>41211.096000000012</v>
      </c>
      <c r="C77" s="11">
        <f>SUM('144 Part'!D77:G77)</f>
        <v>94803.551999999967</v>
      </c>
      <c r="D77" s="11">
        <f>SUM('144 Part'!H77:I77)</f>
        <v>14868.360000000004</v>
      </c>
      <c r="E77" s="11">
        <f>SUM('144 Part'!J77:M77)</f>
        <v>35388.623999999996</v>
      </c>
      <c r="F77" s="6"/>
    </row>
    <row r="78" spans="1:6" x14ac:dyDescent="0.25">
      <c r="A78" s="9">
        <f t="shared" si="2"/>
        <v>46235</v>
      </c>
      <c r="B78" s="11">
        <f>SUM('144 Part'!B78:C78)</f>
        <v>37915.968000000015</v>
      </c>
      <c r="C78" s="11">
        <f>SUM('144 Part'!D78:G78)</f>
        <v>89560.8</v>
      </c>
      <c r="D78" s="11">
        <f>SUM('144 Part'!H78:I78)</f>
        <v>16136.039999999997</v>
      </c>
      <c r="E78" s="11">
        <f>SUM('144 Part'!J78:M78)</f>
        <v>36075.167999999991</v>
      </c>
      <c r="F78" s="6"/>
    </row>
    <row r="79" spans="1:6" x14ac:dyDescent="0.25">
      <c r="A79" s="9">
        <f t="shared" si="2"/>
        <v>46266</v>
      </c>
      <c r="B79" s="11">
        <f>SUM('144 Part'!B79:C79)</f>
        <v>35055.816000000006</v>
      </c>
      <c r="C79" s="11">
        <f>SUM('144 Part'!D79:G79)</f>
        <v>76975.8</v>
      </c>
      <c r="D79" s="11">
        <f>SUM('144 Part'!H79:I79)</f>
        <v>15228.336000000003</v>
      </c>
      <c r="E79" s="11">
        <f>SUM('144 Part'!J79:M79)</f>
        <v>31706.496000000003</v>
      </c>
      <c r="F79" s="6"/>
    </row>
    <row r="80" spans="1:6" x14ac:dyDescent="0.25">
      <c r="A80" s="9">
        <f t="shared" si="2"/>
        <v>46296</v>
      </c>
      <c r="B80" s="11">
        <f>SUM('144 Part'!B80:C80)</f>
        <v>33718.800000000003</v>
      </c>
      <c r="C80" s="11">
        <f>SUM('144 Part'!D80:G80)</f>
        <v>77016.528000000006</v>
      </c>
      <c r="D80" s="11">
        <f>SUM('144 Part'!H80:I80)</f>
        <v>11327.495999999999</v>
      </c>
      <c r="E80" s="11">
        <f>SUM('144 Part'!J80:M80)</f>
        <v>22763.664000000001</v>
      </c>
      <c r="F80" s="6"/>
    </row>
    <row r="81" spans="1:6" x14ac:dyDescent="0.25">
      <c r="A81" s="9">
        <f t="shared" si="2"/>
        <v>46327</v>
      </c>
      <c r="B81" s="11">
        <f>SUM('144 Part'!B81:C81)</f>
        <v>27216.383999999998</v>
      </c>
      <c r="C81" s="11">
        <f>SUM('144 Part'!D81:G81)</f>
        <v>65002.464</v>
      </c>
      <c r="D81" s="11">
        <f>SUM('144 Part'!H81:I81)</f>
        <v>12196.055999999997</v>
      </c>
      <c r="E81" s="11">
        <f>SUM('144 Part'!J81:M81)</f>
        <v>26201.135999999999</v>
      </c>
      <c r="F81" s="6"/>
    </row>
    <row r="82" spans="1:6" x14ac:dyDescent="0.25">
      <c r="A82" s="9">
        <f t="shared" si="2"/>
        <v>46357</v>
      </c>
      <c r="B82" s="11">
        <f>SUM('144 Part'!B82:C82)</f>
        <v>24033.047999999999</v>
      </c>
      <c r="C82" s="11">
        <f>SUM('144 Part'!D82:G82)</f>
        <v>60499.176000000014</v>
      </c>
      <c r="D82" s="11">
        <f>SUM('144 Part'!H82:I82)</f>
        <v>9644.1839999999993</v>
      </c>
      <c r="E82" s="11">
        <f>SUM('144 Part'!J82:M82)</f>
        <v>21613.32</v>
      </c>
      <c r="F82" s="6"/>
    </row>
    <row r="83" spans="1:6" x14ac:dyDescent="0.25">
      <c r="A83" s="9">
        <f t="shared" si="2"/>
        <v>46388</v>
      </c>
      <c r="B83" s="11">
        <f>SUM('144 Part'!B83:C83)</f>
        <v>24929.856</v>
      </c>
      <c r="C83" s="11">
        <f>SUM('144 Part'!D83:G83)</f>
        <v>62250.023999999983</v>
      </c>
      <c r="D83" s="11">
        <f>SUM('144 Part'!H83:I83)</f>
        <v>9925.7279999999992</v>
      </c>
      <c r="E83" s="11">
        <f>SUM('144 Part'!J83:M83)</f>
        <v>22842.047999999995</v>
      </c>
      <c r="F83" s="6"/>
    </row>
    <row r="84" spans="1:6" x14ac:dyDescent="0.25"/>
    <row r="85" spans="1:6" x14ac:dyDescent="0.25">
      <c r="A85" s="7" t="s">
        <v>1</v>
      </c>
      <c r="B85" s="4" t="str">
        <f>VLOOKUP(B86,'Site List'!$A$9:$M$21,2,FALSE)</f>
        <v>4-42 Reimers Avenue, Mount Eden, Auckland</v>
      </c>
      <c r="C85" s="6"/>
      <c r="D85" s="6"/>
      <c r="E85" s="6"/>
      <c r="F85" s="6"/>
    </row>
    <row r="86" spans="1:6" x14ac:dyDescent="0.25">
      <c r="A86" s="7" t="s">
        <v>2</v>
      </c>
      <c r="B86" s="13" t="str">
        <f>'Site List'!A12</f>
        <v>1001153957LC737</v>
      </c>
      <c r="C86" s="6"/>
      <c r="D86" s="6"/>
      <c r="E86" s="6"/>
      <c r="F86" s="6"/>
    </row>
    <row r="87" spans="1:6" x14ac:dyDescent="0.25">
      <c r="A87" s="7" t="s">
        <v>3</v>
      </c>
      <c r="B87" s="14" t="str">
        <f>VLOOKUP(B86,'Site List'!$A$9:$M$21,3,FALSE)</f>
        <v>ROS1101</v>
      </c>
      <c r="C87" s="6"/>
      <c r="D87" s="6"/>
      <c r="E87" s="6"/>
      <c r="F87" s="6"/>
    </row>
    <row r="88" spans="1:6" x14ac:dyDescent="0.25">
      <c r="A88" s="7" t="s">
        <v>4</v>
      </c>
      <c r="B88" s="14">
        <f>VLOOKUP(B86,'Site List'!$A$9:$M$21,4,FALSE)</f>
        <v>46054</v>
      </c>
      <c r="C88" s="6"/>
      <c r="D88" s="6"/>
      <c r="E88" s="6"/>
      <c r="F88" s="6"/>
    </row>
    <row r="89" spans="1:6" x14ac:dyDescent="0.25">
      <c r="A89" s="7" t="s">
        <v>5</v>
      </c>
      <c r="B89" s="14" t="str">
        <f>VLOOKUP(B86,'Site List'!$A$9:$M$21,5,FALSE)</f>
        <v>ATXT</v>
      </c>
      <c r="C89" s="8" t="s">
        <v>33</v>
      </c>
      <c r="D89" s="16" t="str">
        <f>VLOOKUP(B86,'Site List'!$A$9:$M$21,8,FALSE)</f>
        <v/>
      </c>
      <c r="E89" s="6"/>
      <c r="F89" s="6"/>
    </row>
    <row r="90" spans="1:6" x14ac:dyDescent="0.25">
      <c r="A90" s="7" t="s">
        <v>6</v>
      </c>
      <c r="B90" s="4" t="str">
        <f>VLOOKUP(B86,'Site List'!$A$9:$M$21,6,FALSE)</f>
        <v>VECA3</v>
      </c>
      <c r="C90" s="8" t="s">
        <v>24</v>
      </c>
      <c r="D90" s="16">
        <f>VLOOKUP(B86,'Site List'!$A$9:$M$21,7,FALSE)</f>
        <v>1000</v>
      </c>
      <c r="E90" s="6"/>
      <c r="F90" s="6"/>
    </row>
    <row r="91" spans="1:6" x14ac:dyDescent="0.25">
      <c r="A91" s="7" t="s">
        <v>13</v>
      </c>
      <c r="B91" s="4" t="str">
        <f>VLOOKUP(B86,'Site List'!$A$9:$M$21,9,FALSE)</f>
        <v>AMCI</v>
      </c>
      <c r="C91" s="8" t="s">
        <v>14</v>
      </c>
      <c r="D91" s="16">
        <f>VLOOKUP(B86,'Site List'!$A$9:$M$21,10,FALSE)</f>
        <v>4</v>
      </c>
      <c r="E91" s="6"/>
      <c r="F91" s="6"/>
    </row>
    <row r="92" spans="1:6" x14ac:dyDescent="0.25">
      <c r="A92" s="7" t="s">
        <v>15</v>
      </c>
      <c r="B92" s="4" t="str">
        <f>VLOOKUP(B86,'Site List'!$A$9:$M$21,11,FALSE)</f>
        <v>L</v>
      </c>
      <c r="C92" s="7"/>
      <c r="D92" s="6"/>
      <c r="E92" s="6"/>
      <c r="F92" s="6"/>
    </row>
    <row r="93" spans="1:6" x14ac:dyDescent="0.25">
      <c r="A93" s="7" t="s">
        <v>7</v>
      </c>
      <c r="B93" s="4" t="str">
        <f>VLOOKUP(B86,'Site List'!$A$9:$M$21,12,FALSE)</f>
        <v>Mercury</v>
      </c>
      <c r="C93" s="6"/>
      <c r="D93" s="6"/>
      <c r="E93" s="6"/>
      <c r="F93" s="6"/>
    </row>
    <row r="94" spans="1:6" x14ac:dyDescent="0.25">
      <c r="A94" s="7" t="s">
        <v>8</v>
      </c>
      <c r="B94" s="15">
        <f>SUM(B98:E109)</f>
        <v>2283477.7279999997</v>
      </c>
      <c r="C94" s="6" t="s">
        <v>9</v>
      </c>
      <c r="D94" s="6"/>
      <c r="E94" s="6"/>
      <c r="F94" s="6"/>
    </row>
    <row r="95" spans="1:6" x14ac:dyDescent="0.25">
      <c r="A95" s="6"/>
      <c r="B95" s="7"/>
      <c r="C95" s="7"/>
      <c r="D95" s="7"/>
      <c r="E95" s="7"/>
      <c r="F95" s="6"/>
    </row>
    <row r="96" spans="1:6" x14ac:dyDescent="0.25">
      <c r="A96" s="7" t="s">
        <v>10</v>
      </c>
      <c r="B96" s="28" t="s">
        <v>25</v>
      </c>
      <c r="C96" s="28"/>
      <c r="D96" s="28" t="s">
        <v>34</v>
      </c>
      <c r="E96" s="28"/>
      <c r="F96" s="6"/>
    </row>
    <row r="97" spans="1:6" ht="15.75" thickBot="1" x14ac:dyDescent="0.3">
      <c r="A97" s="9"/>
      <c r="B97" s="10" t="s">
        <v>11</v>
      </c>
      <c r="C97" s="10" t="s">
        <v>12</v>
      </c>
      <c r="D97" s="10" t="s">
        <v>11</v>
      </c>
      <c r="E97" s="10" t="s">
        <v>12</v>
      </c>
      <c r="F97" s="6"/>
    </row>
    <row r="98" spans="1:6" x14ac:dyDescent="0.25">
      <c r="A98" s="9">
        <f>B88</f>
        <v>46054</v>
      </c>
      <c r="B98" s="11">
        <f>SUM('144 Part'!B98:C98)</f>
        <v>36077.888000000006</v>
      </c>
      <c r="C98" s="11">
        <f>SUM('144 Part'!D98:G98)</f>
        <v>99968.224000000002</v>
      </c>
      <c r="D98" s="11">
        <f>SUM('144 Part'!H98:I98)</f>
        <v>14544.928000000002</v>
      </c>
      <c r="E98" s="11">
        <f>SUM('144 Part'!J98:M98)</f>
        <v>37519.519999999997</v>
      </c>
      <c r="F98" s="6"/>
    </row>
    <row r="99" spans="1:6" x14ac:dyDescent="0.25">
      <c r="A99" s="9">
        <f>DATE(YEAR(A98),MONTH(A98)+1,DAY(A98))</f>
        <v>46082</v>
      </c>
      <c r="B99" s="11">
        <f>SUM('144 Part'!B99:C99)</f>
        <v>39627.551999999989</v>
      </c>
      <c r="C99" s="11">
        <f>SUM('144 Part'!D99:G99)</f>
        <v>112879.16800000001</v>
      </c>
      <c r="D99" s="11">
        <f>SUM('144 Part'!H99:I99)</f>
        <v>18750.496000000003</v>
      </c>
      <c r="E99" s="11">
        <f>SUM('144 Part'!J99:M99)</f>
        <v>46358.848000000013</v>
      </c>
      <c r="F99" s="6"/>
    </row>
    <row r="100" spans="1:6" x14ac:dyDescent="0.25">
      <c r="A100" s="9">
        <f t="shared" ref="A100:A109" si="3">DATE(YEAR(A99),MONTH(A99)+1,DAY(A99))</f>
        <v>46113</v>
      </c>
      <c r="B100" s="11">
        <f>SUM('144 Part'!B100:C100)</f>
        <v>37017.856</v>
      </c>
      <c r="C100" s="11">
        <f>SUM('144 Part'!D100:G100)</f>
        <v>100166.20799999996</v>
      </c>
      <c r="D100" s="11">
        <f>SUM('144 Part'!H100:I100)</f>
        <v>14127.839999999997</v>
      </c>
      <c r="E100" s="11">
        <f>SUM('144 Part'!J100:M100)</f>
        <v>38660.576000000001</v>
      </c>
      <c r="F100" s="6"/>
    </row>
    <row r="101" spans="1:6" x14ac:dyDescent="0.25">
      <c r="A101" s="9">
        <f t="shared" si="3"/>
        <v>46143</v>
      </c>
      <c r="B101" s="11">
        <f>SUM('144 Part'!B101:C101)</f>
        <v>34597.087999999996</v>
      </c>
      <c r="C101" s="11">
        <f>SUM('144 Part'!D101:G101)</f>
        <v>100626.56000000001</v>
      </c>
      <c r="D101" s="11">
        <f>SUM('144 Part'!H101:I101)</f>
        <v>13854.175999999999</v>
      </c>
      <c r="E101" s="11">
        <f>SUM('144 Part'!J101:M101)</f>
        <v>36417.951999999997</v>
      </c>
      <c r="F101" s="6"/>
    </row>
    <row r="102" spans="1:6" x14ac:dyDescent="0.25">
      <c r="A102" s="9">
        <f t="shared" si="3"/>
        <v>46174</v>
      </c>
      <c r="B102" s="11">
        <f>SUM('144 Part'!B102:C102)</f>
        <v>30926.079999999998</v>
      </c>
      <c r="C102" s="11">
        <f>SUM('144 Part'!D102:G102)</f>
        <v>86799.29600000006</v>
      </c>
      <c r="D102" s="11">
        <f>SUM('144 Part'!H102:I102)</f>
        <v>12518.655999999999</v>
      </c>
      <c r="E102" s="11">
        <f>SUM('144 Part'!J102:M102)</f>
        <v>30490.239999999998</v>
      </c>
      <c r="F102" s="6"/>
    </row>
    <row r="103" spans="1:6" x14ac:dyDescent="0.25">
      <c r="A103" s="9">
        <f t="shared" si="3"/>
        <v>46204</v>
      </c>
      <c r="B103" s="11">
        <f>SUM('144 Part'!B103:C103)</f>
        <v>38687.456000000006</v>
      </c>
      <c r="C103" s="11">
        <f>SUM('144 Part'!D103:G103)</f>
        <v>103058.04799999998</v>
      </c>
      <c r="D103" s="11">
        <f>SUM('144 Part'!H103:I103)</f>
        <v>14143.167999999998</v>
      </c>
      <c r="E103" s="11">
        <f>SUM('144 Part'!J103:M103)</f>
        <v>36504.288</v>
      </c>
      <c r="F103" s="6"/>
    </row>
    <row r="104" spans="1:6" x14ac:dyDescent="0.25">
      <c r="A104" s="9">
        <f t="shared" si="3"/>
        <v>46235</v>
      </c>
      <c r="B104" s="11">
        <f>SUM('144 Part'!B104:C104)</f>
        <v>37225.439999999988</v>
      </c>
      <c r="C104" s="11">
        <f>SUM('144 Part'!D104:G104)</f>
        <v>101850.72</v>
      </c>
      <c r="D104" s="11">
        <f>SUM('144 Part'!H104:I104)</f>
        <v>15727.615999999998</v>
      </c>
      <c r="E104" s="11">
        <f>SUM('144 Part'!J104:M104)</f>
        <v>40642.271999999997</v>
      </c>
      <c r="F104" s="6"/>
    </row>
    <row r="105" spans="1:6" x14ac:dyDescent="0.25">
      <c r="A105" s="9">
        <f t="shared" si="3"/>
        <v>46266</v>
      </c>
      <c r="B105" s="11">
        <f>SUM('144 Part'!B105:C105)</f>
        <v>35632.288</v>
      </c>
      <c r="C105" s="11">
        <f>SUM('144 Part'!D105:G105)</f>
        <v>93254.080000000016</v>
      </c>
      <c r="D105" s="11">
        <f>SUM('144 Part'!H105:I105)</f>
        <v>14955.104000000003</v>
      </c>
      <c r="E105" s="11">
        <f>SUM('144 Part'!J105:M105)</f>
        <v>40482.272000000012</v>
      </c>
      <c r="F105" s="6"/>
    </row>
    <row r="106" spans="1:6" x14ac:dyDescent="0.25">
      <c r="A106" s="9">
        <f t="shared" si="3"/>
        <v>46296</v>
      </c>
      <c r="B106" s="11">
        <f>SUM('144 Part'!B106:C106)</f>
        <v>39420.799999999988</v>
      </c>
      <c r="C106" s="11">
        <f>SUM('144 Part'!D106:G106)</f>
        <v>104242.40000000001</v>
      </c>
      <c r="D106" s="11">
        <f>SUM('144 Part'!H106:I106)</f>
        <v>12935.680000000004</v>
      </c>
      <c r="E106" s="11">
        <f>SUM('144 Part'!J106:M106)</f>
        <v>31270.752</v>
      </c>
      <c r="F106" s="6"/>
    </row>
    <row r="107" spans="1:6" x14ac:dyDescent="0.25">
      <c r="A107" s="9">
        <f t="shared" si="3"/>
        <v>46327</v>
      </c>
      <c r="B107" s="11">
        <f>SUM('144 Part'!B107:C107)</f>
        <v>37974.911999999989</v>
      </c>
      <c r="C107" s="11">
        <f>SUM('144 Part'!D107:G107)</f>
        <v>101857.44000000002</v>
      </c>
      <c r="D107" s="11">
        <f>SUM('144 Part'!H107:I107)</f>
        <v>16751.648000000001</v>
      </c>
      <c r="E107" s="11">
        <f>SUM('144 Part'!J107:M107)</f>
        <v>40046.399999999994</v>
      </c>
      <c r="F107" s="6"/>
    </row>
    <row r="108" spans="1:6" x14ac:dyDescent="0.25">
      <c r="A108" s="9">
        <f t="shared" si="3"/>
        <v>46357</v>
      </c>
      <c r="B108" s="11">
        <f>SUM('144 Part'!B108:C108)</f>
        <v>36364.063999999998</v>
      </c>
      <c r="C108" s="11">
        <f>SUM('144 Part'!D108:G108)</f>
        <v>96595.263999999996</v>
      </c>
      <c r="D108" s="11">
        <f>SUM('144 Part'!H108:I108)</f>
        <v>14645.376</v>
      </c>
      <c r="E108" s="11">
        <f>SUM('144 Part'!J108:M108)</f>
        <v>35658.720000000001</v>
      </c>
      <c r="F108" s="6"/>
    </row>
    <row r="109" spans="1:6" x14ac:dyDescent="0.25">
      <c r="A109" s="9">
        <f t="shared" si="3"/>
        <v>46388</v>
      </c>
      <c r="B109" s="11">
        <f>SUM('144 Part'!B109:C109)</f>
        <v>39543.840000000004</v>
      </c>
      <c r="C109" s="11">
        <f>SUM('144 Part'!D109:G109)</f>
        <v>107511.61599999999</v>
      </c>
      <c r="D109" s="11">
        <f>SUM('144 Part'!H109:I109)</f>
        <v>15502.784</v>
      </c>
      <c r="E109" s="11">
        <f>SUM('144 Part'!J109:M109)</f>
        <v>39064.127999999997</v>
      </c>
      <c r="F109" s="6"/>
    </row>
    <row r="110" spans="1:6" x14ac:dyDescent="0.25"/>
    <row r="111" spans="1:6" x14ac:dyDescent="0.25">
      <c r="A111" s="9"/>
      <c r="B111" s="11"/>
      <c r="C111" s="11"/>
      <c r="D111" s="11"/>
      <c r="E111" s="11"/>
      <c r="F111" s="6"/>
    </row>
    <row r="112" spans="1:6" x14ac:dyDescent="0.25">
      <c r="A112" s="5" t="s">
        <v>22</v>
      </c>
    </row>
    <row r="113" spans="1:1" x14ac:dyDescent="0.25">
      <c r="A113" s="1" t="s">
        <v>23</v>
      </c>
    </row>
    <row r="114" spans="1:1" x14ac:dyDescent="0.25"/>
    <row r="115" spans="1:1" ht="15" hidden="1" customHeight="1" x14ac:dyDescent="0.25"/>
    <row r="116" spans="1:1" ht="15" hidden="1" customHeight="1" x14ac:dyDescent="0.25"/>
    <row r="117" spans="1:1" ht="15" hidden="1" customHeight="1" x14ac:dyDescent="0.25"/>
    <row r="118" spans="1:1" ht="15" hidden="1" customHeight="1" x14ac:dyDescent="0.25"/>
    <row r="119" spans="1:1" ht="15" hidden="1" customHeight="1" x14ac:dyDescent="0.25"/>
    <row r="120" spans="1:1" ht="15" hidden="1" customHeight="1" x14ac:dyDescent="0.25"/>
    <row r="121" spans="1:1" ht="15" hidden="1" customHeight="1" x14ac:dyDescent="0.25"/>
    <row r="122" spans="1:1" ht="15" hidden="1" customHeight="1" x14ac:dyDescent="0.25"/>
    <row r="123" spans="1:1" ht="15" hidden="1" customHeight="1" x14ac:dyDescent="0.25"/>
    <row r="124" spans="1:1" ht="15" hidden="1" customHeight="1" x14ac:dyDescent="0.25"/>
    <row r="125" spans="1:1" ht="15" hidden="1" customHeight="1" x14ac:dyDescent="0.25"/>
    <row r="126" spans="1:1" ht="15" hidden="1" customHeight="1" x14ac:dyDescent="0.25"/>
    <row r="127" spans="1:1" ht="15" hidden="1" customHeight="1" x14ac:dyDescent="0.25"/>
    <row r="128" spans="1:1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34" ht="15" hidden="1" customHeight="1" x14ac:dyDescent="0.25"/>
    <row r="135" ht="15" hidden="1" customHeight="1" x14ac:dyDescent="0.25"/>
    <row r="136" ht="15" hidden="1" customHeight="1" x14ac:dyDescent="0.25"/>
    <row r="137" ht="15" hidden="1" customHeight="1" x14ac:dyDescent="0.25"/>
    <row r="138" ht="15" hidden="1" customHeight="1" x14ac:dyDescent="0.25"/>
    <row r="139" ht="15" hidden="1" customHeight="1" x14ac:dyDescent="0.25"/>
    <row r="140" ht="15" hidden="1" customHeight="1" x14ac:dyDescent="0.25"/>
    <row r="141" ht="15" hidden="1" customHeight="1" x14ac:dyDescent="0.25"/>
    <row r="142" ht="15" hidden="1" customHeight="1" x14ac:dyDescent="0.25"/>
    <row r="143" ht="15" hidden="1" customHeight="1" x14ac:dyDescent="0.25"/>
    <row r="144" ht="15" hidden="1" customHeight="1" x14ac:dyDescent="0.25"/>
    <row r="145" ht="15" hidden="1" customHeight="1" x14ac:dyDescent="0.25"/>
    <row r="146" ht="15" hidden="1" customHeight="1" x14ac:dyDescent="0.25"/>
    <row r="147" ht="15" hidden="1" customHeight="1" x14ac:dyDescent="0.25"/>
    <row r="148" ht="15" hidden="1" customHeight="1" x14ac:dyDescent="0.25"/>
    <row r="149" ht="15" hidden="1" customHeight="1" x14ac:dyDescent="0.25"/>
    <row r="150" ht="15" hidden="1" customHeight="1" x14ac:dyDescent="0.25"/>
    <row r="151" ht="15" hidden="1" customHeight="1" x14ac:dyDescent="0.25"/>
    <row r="152" ht="15" hidden="1" customHeight="1" x14ac:dyDescent="0.25"/>
    <row r="153" ht="15" hidden="1" customHeight="1" x14ac:dyDescent="0.25"/>
    <row r="154" ht="15" hidden="1" customHeight="1" x14ac:dyDescent="0.25"/>
    <row r="155" ht="15" hidden="1" customHeight="1" x14ac:dyDescent="0.25"/>
    <row r="156" ht="15" hidden="1" customHeight="1" x14ac:dyDescent="0.25"/>
    <row r="157" ht="15" hidden="1" customHeight="1" x14ac:dyDescent="0.25"/>
    <row r="158" ht="15" hidden="1" customHeight="1" x14ac:dyDescent="0.25"/>
    <row r="159" ht="15" hidden="1" customHeight="1" x14ac:dyDescent="0.25"/>
    <row r="160" ht="15" hidden="1" customHeight="1" x14ac:dyDescent="0.25"/>
    <row r="161" ht="15" hidden="1" customHeight="1" x14ac:dyDescent="0.25"/>
    <row r="162" ht="15" hidden="1" customHeight="1" x14ac:dyDescent="0.25"/>
    <row r="163" ht="15" hidden="1" customHeight="1" x14ac:dyDescent="0.25"/>
    <row r="164" ht="15" hidden="1" customHeight="1" x14ac:dyDescent="0.25"/>
    <row r="165" ht="15" hidden="1" customHeight="1" x14ac:dyDescent="0.25"/>
    <row r="166" ht="15" hidden="1" customHeight="1" x14ac:dyDescent="0.25"/>
    <row r="167" ht="15" hidden="1" customHeight="1" x14ac:dyDescent="0.25"/>
    <row r="168" ht="15" hidden="1" customHeight="1" x14ac:dyDescent="0.25"/>
    <row r="169" ht="15" hidden="1" customHeight="1" x14ac:dyDescent="0.25"/>
    <row r="170" ht="15" hidden="1" customHeight="1" x14ac:dyDescent="0.25"/>
    <row r="171" ht="15" hidden="1" customHeight="1" x14ac:dyDescent="0.25"/>
    <row r="172" ht="15" hidden="1" customHeight="1" x14ac:dyDescent="0.25"/>
    <row r="173" ht="15" hidden="1" customHeight="1" x14ac:dyDescent="0.25"/>
    <row r="174" ht="15" hidden="1" customHeight="1" x14ac:dyDescent="0.25"/>
    <row r="175" ht="15" hidden="1" customHeight="1" x14ac:dyDescent="0.25"/>
    <row r="176" ht="15" hidden="1" customHeight="1" x14ac:dyDescent="0.25"/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  <row r="183" ht="15" hidden="1" customHeight="1" x14ac:dyDescent="0.25"/>
    <row r="184" ht="15" hidden="1" customHeight="1" x14ac:dyDescent="0.25"/>
    <row r="185" ht="15" hidden="1" customHeight="1" x14ac:dyDescent="0.25"/>
    <row r="186" ht="15" hidden="1" customHeight="1" x14ac:dyDescent="0.25"/>
    <row r="187" ht="15" hidden="1" customHeight="1" x14ac:dyDescent="0.25"/>
    <row r="188" ht="15" hidden="1" customHeight="1" x14ac:dyDescent="0.25"/>
    <row r="189" ht="15" hidden="1" customHeight="1" x14ac:dyDescent="0.25"/>
    <row r="190" ht="15" hidden="1" customHeight="1" x14ac:dyDescent="0.25"/>
    <row r="191" ht="15" hidden="1" customHeight="1" x14ac:dyDescent="0.25"/>
    <row r="192" ht="15" hidden="1" customHeight="1" x14ac:dyDescent="0.25"/>
    <row r="193" ht="15" hidden="1" customHeight="1" x14ac:dyDescent="0.25"/>
    <row r="194" ht="15" hidden="1" customHeight="1" x14ac:dyDescent="0.25"/>
    <row r="195" ht="15" hidden="1" customHeight="1" x14ac:dyDescent="0.25"/>
    <row r="196" ht="15" hidden="1" customHeight="1" x14ac:dyDescent="0.25"/>
    <row r="197" ht="15" hidden="1" customHeight="1" x14ac:dyDescent="0.25"/>
    <row r="198" ht="15" hidden="1" customHeight="1" x14ac:dyDescent="0.25"/>
    <row r="199" ht="15" hidden="1" customHeight="1" x14ac:dyDescent="0.25"/>
    <row r="200" ht="15" hidden="1" customHeight="1" x14ac:dyDescent="0.25"/>
    <row r="201" ht="15" hidden="1" customHeight="1" x14ac:dyDescent="0.25"/>
    <row r="202" ht="15" hidden="1" customHeight="1" x14ac:dyDescent="0.25"/>
    <row r="203" ht="15" hidden="1" customHeight="1" x14ac:dyDescent="0.25"/>
    <row r="204" ht="15" hidden="1" customHeight="1" x14ac:dyDescent="0.25"/>
    <row r="205" ht="15" hidden="1" customHeight="1" x14ac:dyDescent="0.25"/>
    <row r="206" ht="15" hidden="1" customHeight="1" x14ac:dyDescent="0.25"/>
    <row r="207" ht="15" hidden="1" customHeight="1" x14ac:dyDescent="0.25"/>
    <row r="208" ht="15" hidden="1" customHeight="1" x14ac:dyDescent="0.25"/>
    <row r="209" ht="15" hidden="1" customHeight="1" x14ac:dyDescent="0.25"/>
    <row r="210" ht="15" hidden="1" customHeight="1" x14ac:dyDescent="0.25"/>
    <row r="211" ht="15" hidden="1" customHeight="1" x14ac:dyDescent="0.25"/>
    <row r="212" ht="15" hidden="1" customHeight="1" x14ac:dyDescent="0.25"/>
    <row r="213" ht="15" hidden="1" customHeight="1" x14ac:dyDescent="0.25"/>
    <row r="214" ht="15" hidden="1" customHeight="1" x14ac:dyDescent="0.25"/>
    <row r="215" ht="15" hidden="1" customHeight="1" x14ac:dyDescent="0.25"/>
    <row r="216" ht="15" hidden="1" customHeight="1" x14ac:dyDescent="0.25"/>
    <row r="217" ht="15" hidden="1" customHeight="1" x14ac:dyDescent="0.25"/>
    <row r="218" ht="15" hidden="1" customHeight="1" x14ac:dyDescent="0.25"/>
    <row r="219" ht="15" hidden="1" customHeight="1" x14ac:dyDescent="0.25"/>
    <row r="220" ht="15" hidden="1" customHeight="1" x14ac:dyDescent="0.25"/>
    <row r="221" ht="15" hidden="1" customHeight="1" x14ac:dyDescent="0.25"/>
    <row r="222" ht="15" hidden="1" customHeight="1" x14ac:dyDescent="0.25"/>
    <row r="223" ht="15" hidden="1" customHeight="1" x14ac:dyDescent="0.25"/>
    <row r="224" ht="15" hidden="1" customHeight="1" x14ac:dyDescent="0.25"/>
    <row r="225" ht="15" hidden="1" customHeight="1" x14ac:dyDescent="0.25"/>
    <row r="226" ht="15" hidden="1" customHeight="1" x14ac:dyDescent="0.25"/>
    <row r="227" ht="15" hidden="1" customHeight="1" x14ac:dyDescent="0.25"/>
    <row r="228" ht="15" hidden="1" customHeight="1" x14ac:dyDescent="0.25"/>
    <row r="229" ht="15" hidden="1" customHeight="1" x14ac:dyDescent="0.25"/>
    <row r="230" ht="15" hidden="1" customHeight="1" x14ac:dyDescent="0.25"/>
    <row r="231" ht="15" hidden="1" customHeight="1" x14ac:dyDescent="0.25"/>
    <row r="232" ht="15" hidden="1" customHeight="1" x14ac:dyDescent="0.25"/>
    <row r="233" ht="15" hidden="1" customHeight="1" x14ac:dyDescent="0.25"/>
    <row r="234" ht="15" hidden="1" customHeight="1" x14ac:dyDescent="0.25"/>
    <row r="235" ht="15" hidden="1" customHeight="1" x14ac:dyDescent="0.25"/>
    <row r="236" ht="15" hidden="1" customHeight="1" x14ac:dyDescent="0.25"/>
    <row r="237" ht="15" hidden="1" customHeight="1" x14ac:dyDescent="0.25"/>
    <row r="238" ht="15" hidden="1" customHeight="1" x14ac:dyDescent="0.25"/>
    <row r="239" ht="15" hidden="1" customHeight="1" x14ac:dyDescent="0.25"/>
    <row r="240" ht="15" hidden="1" customHeight="1" x14ac:dyDescent="0.25"/>
    <row r="241" ht="15" hidden="1" customHeight="1" x14ac:dyDescent="0.25"/>
    <row r="242" ht="15" hidden="1" customHeight="1" x14ac:dyDescent="0.25"/>
    <row r="243" ht="15" hidden="1" customHeight="1" x14ac:dyDescent="0.25"/>
    <row r="244" ht="15" hidden="1" customHeight="1" x14ac:dyDescent="0.25"/>
    <row r="245" ht="15" hidden="1" customHeight="1" x14ac:dyDescent="0.25"/>
    <row r="246" ht="15" hidden="1" customHeight="1" x14ac:dyDescent="0.25"/>
    <row r="247" ht="15" hidden="1" customHeight="1" x14ac:dyDescent="0.25"/>
    <row r="248" ht="15" hidden="1" customHeight="1" x14ac:dyDescent="0.25"/>
    <row r="249" ht="15" hidden="1" customHeight="1" x14ac:dyDescent="0.25"/>
    <row r="250" ht="15" hidden="1" customHeight="1" x14ac:dyDescent="0.25"/>
    <row r="251" ht="15" hidden="1" customHeight="1" x14ac:dyDescent="0.25"/>
    <row r="252" ht="15" hidden="1" customHeight="1" x14ac:dyDescent="0.25"/>
    <row r="253" ht="15" hidden="1" customHeight="1" x14ac:dyDescent="0.25"/>
    <row r="254" ht="15" hidden="1" customHeight="1" x14ac:dyDescent="0.25"/>
    <row r="255" ht="15" hidden="1" customHeight="1" x14ac:dyDescent="0.25"/>
    <row r="256" ht="15" hidden="1" customHeight="1" x14ac:dyDescent="0.25"/>
    <row r="257" ht="15" hidden="1" customHeight="1" x14ac:dyDescent="0.25"/>
    <row r="258" ht="15" hidden="1" customHeight="1" x14ac:dyDescent="0.25"/>
    <row r="259" ht="15" hidden="1" customHeight="1" x14ac:dyDescent="0.25"/>
    <row r="260" ht="15" hidden="1" customHeight="1" x14ac:dyDescent="0.25"/>
    <row r="261" ht="15" hidden="1" customHeight="1" x14ac:dyDescent="0.25"/>
    <row r="262" ht="15" hidden="1" customHeight="1" x14ac:dyDescent="0.25"/>
    <row r="263" ht="15" hidden="1" customHeight="1" x14ac:dyDescent="0.25"/>
    <row r="264" ht="15" hidden="1" customHeight="1" x14ac:dyDescent="0.25"/>
    <row r="265" ht="15" hidden="1" customHeight="1" x14ac:dyDescent="0.25"/>
    <row r="266" ht="15" hidden="1" customHeight="1" x14ac:dyDescent="0.25"/>
    <row r="267" ht="15" hidden="1" customHeight="1" x14ac:dyDescent="0.25"/>
    <row r="268" ht="15" hidden="1" customHeight="1" x14ac:dyDescent="0.25"/>
    <row r="269" ht="15" hidden="1" customHeight="1" x14ac:dyDescent="0.25"/>
    <row r="270" ht="15" hidden="1" customHeight="1" x14ac:dyDescent="0.25"/>
    <row r="271" ht="15" hidden="1" customHeight="1" x14ac:dyDescent="0.25"/>
    <row r="272" ht="15" hidden="1" customHeight="1" x14ac:dyDescent="0.25"/>
    <row r="273" ht="15" hidden="1" customHeight="1" x14ac:dyDescent="0.25"/>
    <row r="274" ht="15" hidden="1" customHeight="1" x14ac:dyDescent="0.25"/>
    <row r="275" ht="15" hidden="1" customHeight="1" x14ac:dyDescent="0.25"/>
    <row r="276" ht="15" hidden="1" customHeight="1" x14ac:dyDescent="0.25"/>
    <row r="277" ht="15" hidden="1" customHeight="1" x14ac:dyDescent="0.25"/>
    <row r="278" ht="15" hidden="1" customHeight="1" x14ac:dyDescent="0.25"/>
    <row r="279" ht="15" hidden="1" customHeight="1" x14ac:dyDescent="0.25"/>
    <row r="280" ht="15" hidden="1" customHeight="1" x14ac:dyDescent="0.25"/>
    <row r="281" ht="15" hidden="1" customHeight="1" x14ac:dyDescent="0.25"/>
    <row r="282" ht="15" hidden="1" customHeight="1" x14ac:dyDescent="0.25"/>
    <row r="283" ht="15" hidden="1" customHeight="1" x14ac:dyDescent="0.25"/>
    <row r="284" ht="15" hidden="1" customHeight="1" x14ac:dyDescent="0.25"/>
    <row r="285" ht="15" hidden="1" customHeight="1" x14ac:dyDescent="0.25"/>
    <row r="286" ht="15" hidden="1" customHeight="1" x14ac:dyDescent="0.25"/>
    <row r="287" ht="15" hidden="1" customHeight="1" x14ac:dyDescent="0.25"/>
    <row r="288" ht="15" hidden="1" customHeight="1" x14ac:dyDescent="0.25"/>
    <row r="289" ht="15" hidden="1" customHeight="1" x14ac:dyDescent="0.25"/>
    <row r="290" ht="15" hidden="1" customHeight="1" x14ac:dyDescent="0.25"/>
    <row r="291" ht="15" hidden="1" customHeight="1" x14ac:dyDescent="0.25"/>
    <row r="292" ht="15" hidden="1" customHeight="1" x14ac:dyDescent="0.25"/>
    <row r="293" ht="15" hidden="1" customHeight="1" x14ac:dyDescent="0.25"/>
    <row r="294" ht="15" hidden="1" customHeight="1" x14ac:dyDescent="0.25"/>
    <row r="295" ht="15" hidden="1" customHeight="1" x14ac:dyDescent="0.25"/>
    <row r="296" ht="15" hidden="1" customHeight="1" x14ac:dyDescent="0.25"/>
    <row r="297" ht="15" hidden="1" customHeight="1" x14ac:dyDescent="0.25"/>
    <row r="298" ht="15" hidden="1" customHeight="1" x14ac:dyDescent="0.25"/>
    <row r="299" ht="15" hidden="1" customHeight="1" x14ac:dyDescent="0.25"/>
    <row r="300" ht="15" hidden="1" customHeight="1" x14ac:dyDescent="0.25"/>
    <row r="301" ht="15" hidden="1" customHeight="1" x14ac:dyDescent="0.25"/>
    <row r="302" ht="15" hidden="1" customHeight="1" x14ac:dyDescent="0.25"/>
    <row r="303" ht="15" hidden="1" customHeight="1" x14ac:dyDescent="0.25"/>
    <row r="304" ht="15" hidden="1" customHeight="1" x14ac:dyDescent="0.25"/>
    <row r="305" ht="15" hidden="1" customHeight="1" x14ac:dyDescent="0.25"/>
    <row r="306" ht="15" hidden="1" customHeight="1" x14ac:dyDescent="0.25"/>
    <row r="307" ht="15" hidden="1" customHeight="1" x14ac:dyDescent="0.25"/>
    <row r="308" ht="15" hidden="1" customHeight="1" x14ac:dyDescent="0.25"/>
    <row r="309" ht="15" hidden="1" customHeight="1" x14ac:dyDescent="0.25"/>
    <row r="310" ht="15" hidden="1" customHeight="1" x14ac:dyDescent="0.25"/>
    <row r="311" ht="15" hidden="1" customHeight="1" x14ac:dyDescent="0.25"/>
    <row r="312" ht="15" hidden="1" customHeight="1" x14ac:dyDescent="0.25"/>
    <row r="313" ht="15" hidden="1" customHeight="1" x14ac:dyDescent="0.25"/>
    <row r="314" ht="15" hidden="1" customHeight="1" x14ac:dyDescent="0.25"/>
    <row r="315" ht="15" hidden="1" customHeight="1" x14ac:dyDescent="0.25"/>
    <row r="316" ht="15" hidden="1" customHeight="1" x14ac:dyDescent="0.25"/>
    <row r="317" ht="15" hidden="1" customHeight="1" x14ac:dyDescent="0.25"/>
    <row r="318" ht="15" hidden="1" customHeight="1" x14ac:dyDescent="0.25"/>
    <row r="319" ht="15" hidden="1" customHeight="1" x14ac:dyDescent="0.25"/>
    <row r="320" ht="15" hidden="1" customHeight="1" x14ac:dyDescent="0.25"/>
    <row r="321" ht="15" hidden="1" customHeight="1" x14ac:dyDescent="0.25"/>
    <row r="322" ht="15" hidden="1" customHeight="1" x14ac:dyDescent="0.25"/>
    <row r="323" ht="15" hidden="1" customHeight="1" x14ac:dyDescent="0.25"/>
    <row r="324" ht="15" hidden="1" customHeight="1" x14ac:dyDescent="0.25"/>
    <row r="325" ht="15" hidden="1" customHeight="1" x14ac:dyDescent="0.25"/>
    <row r="326" ht="15" hidden="1" customHeight="1" x14ac:dyDescent="0.25"/>
    <row r="327" ht="15" hidden="1" customHeight="1" x14ac:dyDescent="0.25"/>
    <row r="328" ht="15" hidden="1" customHeight="1" x14ac:dyDescent="0.25"/>
    <row r="329" ht="15" hidden="1" customHeight="1" x14ac:dyDescent="0.25"/>
    <row r="330" ht="15" hidden="1" customHeight="1" x14ac:dyDescent="0.25"/>
    <row r="331" ht="15" hidden="1" customHeight="1" x14ac:dyDescent="0.25"/>
    <row r="332" ht="15" hidden="1" customHeight="1" x14ac:dyDescent="0.25"/>
    <row r="333" ht="15" hidden="1" customHeight="1" x14ac:dyDescent="0.25"/>
    <row r="334" ht="15" hidden="1" customHeight="1" x14ac:dyDescent="0.25"/>
    <row r="335" ht="15" hidden="1" customHeight="1" x14ac:dyDescent="0.25"/>
    <row r="383" ht="0.75" hidden="1" customHeight="1" x14ac:dyDescent="0.25"/>
  </sheetData>
  <mergeCells count="9">
    <mergeCell ref="B70:C70"/>
    <mergeCell ref="D70:E70"/>
    <mergeCell ref="B96:C96"/>
    <mergeCell ref="D96:E96"/>
    <mergeCell ref="A2:N3"/>
    <mergeCell ref="B18:C18"/>
    <mergeCell ref="D18:E18"/>
    <mergeCell ref="B44:C44"/>
    <mergeCell ref="D44:E44"/>
  </mergeCells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383"/>
  <sheetViews>
    <sheetView workbookViewId="0">
      <selection activeCell="A115" sqref="A115:XFD538"/>
    </sheetView>
  </sheetViews>
  <sheetFormatPr defaultColWidth="0" defaultRowHeight="15" zeroHeight="1" x14ac:dyDescent="0.25"/>
  <cols>
    <col min="1" max="1" width="16.28515625" style="2" customWidth="1"/>
    <col min="2" max="14" width="10.7109375" style="2" customWidth="1"/>
    <col min="15" max="16384" width="9.140625" style="2" hidden="1"/>
  </cols>
  <sheetData>
    <row r="1" spans="1:14" x14ac:dyDescent="0.25"/>
    <row r="2" spans="1:14" ht="15" customHeight="1" x14ac:dyDescent="0.25">
      <c r="A2" s="27" t="str">
        <f>'48 Part'!A2:N3</f>
        <v>REQUEST FOR PROPOSAL - THE EDEN PARK TRUST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L4" s="6"/>
    </row>
    <row r="5" spans="1:14" x14ac:dyDescent="0.25">
      <c r="A5" s="7" t="s">
        <v>0</v>
      </c>
      <c r="B5" s="4" t="str">
        <f>'48 Part'!B5</f>
        <v>Private Bag 56906, Mount Eden, Auckland 1446</v>
      </c>
      <c r="C5" s="6"/>
      <c r="D5" s="6"/>
      <c r="E5" s="6"/>
      <c r="F5" s="6"/>
      <c r="G5" s="6"/>
      <c r="H5" s="6"/>
      <c r="I5" s="6"/>
      <c r="L5" s="6"/>
    </row>
    <row r="6" spans="1:14" x14ac:dyDescent="0.25">
      <c r="A6" s="7"/>
      <c r="B6" s="6"/>
      <c r="C6" s="6"/>
      <c r="D6" s="6"/>
      <c r="E6" s="6"/>
      <c r="F6" s="6"/>
      <c r="G6" s="6"/>
      <c r="H6" s="6"/>
      <c r="I6" s="6"/>
      <c r="L6" s="6"/>
    </row>
    <row r="7" spans="1:14" x14ac:dyDescent="0.25">
      <c r="A7" s="7" t="s">
        <v>1</v>
      </c>
      <c r="B7" s="4" t="str">
        <f>'48 Part'!B7</f>
        <v>2 A Reimers Avenue, Morningside, Auckland</v>
      </c>
      <c r="C7" s="6"/>
      <c r="D7" s="6"/>
      <c r="E7" s="6"/>
      <c r="F7" s="6"/>
    </row>
    <row r="8" spans="1:14" x14ac:dyDescent="0.25">
      <c r="A8" s="7" t="s">
        <v>2</v>
      </c>
      <c r="B8" s="13" t="str">
        <f>'48 Part'!B8</f>
        <v>0132426315LC55E</v>
      </c>
      <c r="C8" s="6"/>
      <c r="D8" s="6"/>
      <c r="E8" s="6"/>
      <c r="F8" s="6"/>
    </row>
    <row r="9" spans="1:14" x14ac:dyDescent="0.25">
      <c r="A9" s="7" t="s">
        <v>3</v>
      </c>
      <c r="B9" s="14" t="str">
        <f>'48 Part'!B9</f>
        <v>ROS1101</v>
      </c>
      <c r="C9" s="6"/>
      <c r="D9" s="6"/>
      <c r="E9" s="6"/>
      <c r="F9" s="6"/>
    </row>
    <row r="10" spans="1:14" x14ac:dyDescent="0.25">
      <c r="A10" s="7" t="s">
        <v>4</v>
      </c>
      <c r="B10" s="14">
        <f>'48 Part'!B10</f>
        <v>46054</v>
      </c>
      <c r="C10" s="6"/>
      <c r="D10" s="6"/>
      <c r="E10" s="6"/>
      <c r="F10" s="6"/>
    </row>
    <row r="11" spans="1:14" x14ac:dyDescent="0.25">
      <c r="A11" s="7" t="s">
        <v>5</v>
      </c>
      <c r="B11" s="14" t="str">
        <f>'48 Part'!B11</f>
        <v>AHVT</v>
      </c>
      <c r="C11" s="8" t="s">
        <v>33</v>
      </c>
      <c r="D11" s="16" t="str">
        <f>'48 Part'!D11</f>
        <v/>
      </c>
      <c r="E11" s="6"/>
      <c r="F11" s="6"/>
    </row>
    <row r="12" spans="1:14" x14ac:dyDescent="0.25">
      <c r="A12" s="7" t="s">
        <v>6</v>
      </c>
      <c r="B12" s="4" t="str">
        <f>'48 Part'!B12</f>
        <v>VECA3</v>
      </c>
      <c r="C12" s="8" t="s">
        <v>24</v>
      </c>
      <c r="D12" s="16">
        <f>'48 Part'!D12</f>
        <v>650</v>
      </c>
      <c r="E12" s="6"/>
      <c r="F12" s="6"/>
    </row>
    <row r="13" spans="1:14" x14ac:dyDescent="0.25">
      <c r="A13" s="7" t="s">
        <v>13</v>
      </c>
      <c r="B13" s="4" t="str">
        <f>'48 Part'!B13</f>
        <v>AMCI</v>
      </c>
      <c r="C13" s="8" t="s">
        <v>14</v>
      </c>
      <c r="D13" s="16">
        <f>'48 Part'!D13</f>
        <v>4</v>
      </c>
      <c r="E13" s="6"/>
      <c r="F13" s="6"/>
    </row>
    <row r="14" spans="1:14" x14ac:dyDescent="0.25">
      <c r="A14" s="7" t="s">
        <v>15</v>
      </c>
      <c r="B14" s="4" t="str">
        <f>'48 Part'!B14</f>
        <v>L</v>
      </c>
      <c r="C14" s="7"/>
      <c r="D14" s="6"/>
      <c r="E14" s="6"/>
      <c r="F14" s="6"/>
    </row>
    <row r="15" spans="1:14" x14ac:dyDescent="0.25">
      <c r="A15" s="7" t="s">
        <v>7</v>
      </c>
      <c r="B15" s="4" t="str">
        <f>'48 Part'!B15</f>
        <v>Mercury</v>
      </c>
      <c r="C15" s="6"/>
      <c r="D15" s="6"/>
      <c r="E15" s="6"/>
      <c r="F15" s="6"/>
    </row>
    <row r="16" spans="1:14" x14ac:dyDescent="0.25">
      <c r="A16" s="7" t="s">
        <v>8</v>
      </c>
      <c r="B16" s="15">
        <f>SUM(B20:M31)</f>
        <v>1403702.4899999988</v>
      </c>
      <c r="C16" s="6" t="s">
        <v>9</v>
      </c>
      <c r="D16" s="6"/>
      <c r="E16" s="6"/>
      <c r="F16" s="6"/>
    </row>
    <row r="17" spans="1:13" x14ac:dyDescent="0.25">
      <c r="A17" s="6"/>
      <c r="B17" s="7"/>
      <c r="C17" s="7"/>
      <c r="D17" s="7"/>
      <c r="E17" s="7"/>
      <c r="F17" s="6"/>
    </row>
    <row r="18" spans="1:13" x14ac:dyDescent="0.25">
      <c r="A18" s="7" t="s">
        <v>10</v>
      </c>
      <c r="B18" s="28" t="s">
        <v>25</v>
      </c>
      <c r="C18" s="28"/>
      <c r="D18" s="28"/>
      <c r="E18" s="28"/>
      <c r="F18" s="28"/>
      <c r="G18" s="28"/>
      <c r="H18" s="28" t="s">
        <v>26</v>
      </c>
      <c r="I18" s="28"/>
      <c r="J18" s="28"/>
      <c r="K18" s="28"/>
      <c r="L18" s="28"/>
      <c r="M18" s="28"/>
    </row>
    <row r="19" spans="1:13" ht="15.75" thickBot="1" x14ac:dyDescent="0.3">
      <c r="A19" s="9"/>
      <c r="B19" s="10" t="s">
        <v>16</v>
      </c>
      <c r="C19" s="10" t="s">
        <v>17</v>
      </c>
      <c r="D19" s="10" t="s">
        <v>18</v>
      </c>
      <c r="E19" s="10" t="s">
        <v>19</v>
      </c>
      <c r="F19" s="10" t="s">
        <v>20</v>
      </c>
      <c r="G19" s="10" t="s">
        <v>21</v>
      </c>
      <c r="H19" s="10" t="s">
        <v>16</v>
      </c>
      <c r="I19" s="10" t="s">
        <v>17</v>
      </c>
      <c r="J19" s="10" t="s">
        <v>18</v>
      </c>
      <c r="K19" s="10" t="s">
        <v>19</v>
      </c>
      <c r="L19" s="10" t="s">
        <v>20</v>
      </c>
      <c r="M19" s="10" t="s">
        <v>21</v>
      </c>
    </row>
    <row r="20" spans="1:13" x14ac:dyDescent="0.25">
      <c r="A20" s="9">
        <f>B10</f>
        <v>46054</v>
      </c>
      <c r="B20" s="11">
        <v>9911.8000000000065</v>
      </c>
      <c r="C20" s="11">
        <v>10908.680000000008</v>
      </c>
      <c r="D20" s="11">
        <v>13577.920000000006</v>
      </c>
      <c r="E20" s="11">
        <v>14287.240000000007</v>
      </c>
      <c r="F20" s="11">
        <v>12245.12</v>
      </c>
      <c r="G20" s="11">
        <v>11004.6</v>
      </c>
      <c r="H20" s="11">
        <v>4066.6400000000003</v>
      </c>
      <c r="I20" s="11">
        <v>4218.6000000000013</v>
      </c>
      <c r="J20" s="11">
        <v>4628.2000000000016</v>
      </c>
      <c r="K20" s="11">
        <v>5346.2400000000016</v>
      </c>
      <c r="L20" s="11">
        <v>5697.4400000000014</v>
      </c>
      <c r="M20" s="11">
        <v>4937.2799999999988</v>
      </c>
    </row>
    <row r="21" spans="1:13" x14ac:dyDescent="0.25">
      <c r="A21" s="9">
        <f>DATE(YEAR(A20),MONTH(A20)+1,DAY(A20))</f>
        <v>46082</v>
      </c>
      <c r="B21" s="11">
        <v>10960.519999999997</v>
      </c>
      <c r="C21" s="11">
        <v>12086.600000000008</v>
      </c>
      <c r="D21" s="11">
        <v>16233.169999999998</v>
      </c>
      <c r="E21" s="11">
        <v>16151.32</v>
      </c>
      <c r="F21" s="11">
        <v>16125.199999999999</v>
      </c>
      <c r="G21" s="11">
        <v>14319.679999999998</v>
      </c>
      <c r="H21" s="11">
        <v>5795.2399999999989</v>
      </c>
      <c r="I21" s="11">
        <v>5666.640000000004</v>
      </c>
      <c r="J21" s="11">
        <v>5931.0000000000009</v>
      </c>
      <c r="K21" s="11">
        <v>6232.0000000000018</v>
      </c>
      <c r="L21" s="11">
        <v>6778.920000000001</v>
      </c>
      <c r="M21" s="11">
        <v>6163.4</v>
      </c>
    </row>
    <row r="22" spans="1:13" x14ac:dyDescent="0.25">
      <c r="A22" s="9">
        <f t="shared" ref="A22:A31" si="0">DATE(YEAR(A21),MONTH(A21)+1,DAY(A21))</f>
        <v>46113</v>
      </c>
      <c r="B22" s="11">
        <v>11177.64</v>
      </c>
      <c r="C22" s="11">
        <v>12999.359999999995</v>
      </c>
      <c r="D22" s="11">
        <v>15592.080000000002</v>
      </c>
      <c r="E22" s="11">
        <v>15082.319999999987</v>
      </c>
      <c r="F22" s="11">
        <v>13851.680000000008</v>
      </c>
      <c r="G22" s="11">
        <v>12369.840000000007</v>
      </c>
      <c r="H22" s="11">
        <v>4557.6399999999985</v>
      </c>
      <c r="I22" s="11">
        <v>4721.880000000001</v>
      </c>
      <c r="J22" s="11">
        <v>5341.6</v>
      </c>
      <c r="K22" s="11">
        <v>6164</v>
      </c>
      <c r="L22" s="11">
        <v>6967.3200000000006</v>
      </c>
      <c r="M22" s="11">
        <v>5784.800000000002</v>
      </c>
    </row>
    <row r="23" spans="1:13" x14ac:dyDescent="0.25">
      <c r="A23" s="9">
        <f t="shared" si="0"/>
        <v>46143</v>
      </c>
      <c r="B23" s="11">
        <v>11722.84</v>
      </c>
      <c r="C23" s="11">
        <v>14741.44</v>
      </c>
      <c r="D23" s="11">
        <v>18550.479999999992</v>
      </c>
      <c r="E23" s="11">
        <v>17546.880000000005</v>
      </c>
      <c r="F23" s="11">
        <v>17414.520000000008</v>
      </c>
      <c r="G23" s="11">
        <v>14454.279999999999</v>
      </c>
      <c r="H23" s="11">
        <v>5043.6799999999994</v>
      </c>
      <c r="I23" s="11">
        <v>5945.6799999999994</v>
      </c>
      <c r="J23" s="11">
        <v>6521.2399999999989</v>
      </c>
      <c r="K23" s="11">
        <v>6795.52</v>
      </c>
      <c r="L23" s="11">
        <v>7042.119999999999</v>
      </c>
      <c r="M23" s="11">
        <v>5977.9200000000019</v>
      </c>
    </row>
    <row r="24" spans="1:13" x14ac:dyDescent="0.25">
      <c r="A24" s="9">
        <f t="shared" si="0"/>
        <v>46174</v>
      </c>
      <c r="B24" s="11">
        <v>10713.200000000003</v>
      </c>
      <c r="C24" s="11">
        <v>14026.840000000006</v>
      </c>
      <c r="D24" s="11">
        <v>17330.759999999991</v>
      </c>
      <c r="E24" s="11">
        <v>16521.759999999998</v>
      </c>
      <c r="F24" s="11">
        <v>15876.599999999997</v>
      </c>
      <c r="G24" s="11">
        <v>13057.359999999997</v>
      </c>
      <c r="H24" s="11">
        <v>4596.0399999999991</v>
      </c>
      <c r="I24" s="11">
        <v>5600.08</v>
      </c>
      <c r="J24" s="11">
        <v>5862.4800000000005</v>
      </c>
      <c r="K24" s="11">
        <v>5778.56</v>
      </c>
      <c r="L24" s="11">
        <v>5830.4799999999987</v>
      </c>
      <c r="M24" s="11">
        <v>5278.4400000000005</v>
      </c>
    </row>
    <row r="25" spans="1:13" x14ac:dyDescent="0.25">
      <c r="A25" s="9">
        <f t="shared" si="0"/>
        <v>46204</v>
      </c>
      <c r="B25" s="11">
        <v>14253.960000000001</v>
      </c>
      <c r="C25" s="11">
        <v>17354.439999999995</v>
      </c>
      <c r="D25" s="11">
        <v>20503.640000000003</v>
      </c>
      <c r="E25" s="11">
        <v>19686.080000000005</v>
      </c>
      <c r="F25" s="11">
        <v>18451.440000000002</v>
      </c>
      <c r="G25" s="11">
        <v>16346.92</v>
      </c>
      <c r="H25" s="11">
        <v>5253.2799999999979</v>
      </c>
      <c r="I25" s="11">
        <v>5908.2400000000007</v>
      </c>
      <c r="J25" s="11">
        <v>6587.08</v>
      </c>
      <c r="K25" s="11">
        <v>6965.9599999999982</v>
      </c>
      <c r="L25" s="11">
        <v>7149.2399999999989</v>
      </c>
      <c r="M25" s="11">
        <v>6342.1200000000008</v>
      </c>
    </row>
    <row r="26" spans="1:13" x14ac:dyDescent="0.25">
      <c r="A26" s="9">
        <f t="shared" si="0"/>
        <v>46235</v>
      </c>
      <c r="B26" s="11">
        <v>9672.8400000000038</v>
      </c>
      <c r="C26" s="11">
        <v>12102.119999999992</v>
      </c>
      <c r="D26" s="11">
        <v>14817.28</v>
      </c>
      <c r="E26" s="11">
        <v>14413.199999999999</v>
      </c>
      <c r="F26" s="11">
        <v>13829.2</v>
      </c>
      <c r="G26" s="11">
        <v>11843.719999999996</v>
      </c>
      <c r="H26" s="11">
        <v>4708.12</v>
      </c>
      <c r="I26" s="11">
        <v>5186.24</v>
      </c>
      <c r="J26" s="11">
        <v>5654.0399999999981</v>
      </c>
      <c r="K26" s="11">
        <v>5846.8799999999983</v>
      </c>
      <c r="L26" s="11">
        <v>6716.4800000000005</v>
      </c>
      <c r="M26" s="11">
        <v>5660.6</v>
      </c>
    </row>
    <row r="27" spans="1:13" x14ac:dyDescent="0.25">
      <c r="A27" s="9">
        <f t="shared" si="0"/>
        <v>46266</v>
      </c>
      <c r="B27" s="11">
        <v>10489.599999999995</v>
      </c>
      <c r="C27" s="11">
        <v>11680.16</v>
      </c>
      <c r="D27" s="11">
        <v>14335.440000000002</v>
      </c>
      <c r="E27" s="11">
        <v>13774.119999999995</v>
      </c>
      <c r="F27" s="11">
        <v>13210.080000000004</v>
      </c>
      <c r="G27" s="11">
        <v>11820.520000000004</v>
      </c>
      <c r="H27" s="11">
        <v>4151.12</v>
      </c>
      <c r="I27" s="11">
        <v>4641.4400000000005</v>
      </c>
      <c r="J27" s="11">
        <v>5189.6799999999985</v>
      </c>
      <c r="K27" s="11">
        <v>5362.44</v>
      </c>
      <c r="L27" s="11">
        <v>5408.8799999999992</v>
      </c>
      <c r="M27" s="11">
        <v>5046.08</v>
      </c>
    </row>
    <row r="28" spans="1:13" x14ac:dyDescent="0.25">
      <c r="A28" s="9">
        <f t="shared" si="0"/>
        <v>46296</v>
      </c>
      <c r="B28" s="11">
        <v>12448.960000000001</v>
      </c>
      <c r="C28" s="11">
        <v>13947.679999999998</v>
      </c>
      <c r="D28" s="11">
        <v>17201.079999999991</v>
      </c>
      <c r="E28" s="11">
        <v>16859.079999999994</v>
      </c>
      <c r="F28" s="11">
        <v>15503.960000000005</v>
      </c>
      <c r="G28" s="11">
        <v>14044.960000000003</v>
      </c>
      <c r="H28" s="11">
        <v>4209.12</v>
      </c>
      <c r="I28" s="11">
        <v>4525.88</v>
      </c>
      <c r="J28" s="11">
        <v>4799.119999999999</v>
      </c>
      <c r="K28" s="11">
        <v>5050.5599999999986</v>
      </c>
      <c r="L28" s="11">
        <v>4720.4799999999996</v>
      </c>
      <c r="M28" s="11">
        <v>4539.6399999999994</v>
      </c>
    </row>
    <row r="29" spans="1:13" x14ac:dyDescent="0.25">
      <c r="A29" s="9">
        <f t="shared" si="0"/>
        <v>46327</v>
      </c>
      <c r="B29" s="11">
        <v>11460.400000000001</v>
      </c>
      <c r="C29" s="11">
        <v>12725.6</v>
      </c>
      <c r="D29" s="11">
        <v>15128.840000000004</v>
      </c>
      <c r="E29" s="11">
        <v>15270.12000000001</v>
      </c>
      <c r="F29" s="11">
        <v>15252.080000000005</v>
      </c>
      <c r="G29" s="11">
        <v>13631.360000000008</v>
      </c>
      <c r="H29" s="11">
        <v>5253.2000000000007</v>
      </c>
      <c r="I29" s="11">
        <v>5508.880000000001</v>
      </c>
      <c r="J29" s="11">
        <v>5976.5199999999977</v>
      </c>
      <c r="K29" s="11">
        <v>6079.5199999999977</v>
      </c>
      <c r="L29" s="11">
        <v>6199.4800000000005</v>
      </c>
      <c r="M29" s="11">
        <v>5747.6799999999994</v>
      </c>
    </row>
    <row r="30" spans="1:13" x14ac:dyDescent="0.25">
      <c r="A30" s="9">
        <f t="shared" si="0"/>
        <v>46357</v>
      </c>
      <c r="B30" s="11">
        <v>10482.16</v>
      </c>
      <c r="C30" s="11">
        <v>11393.4</v>
      </c>
      <c r="D30" s="11">
        <v>13304.999999999998</v>
      </c>
      <c r="E30" s="11">
        <v>13400.560000000003</v>
      </c>
      <c r="F30" s="11">
        <v>12925.519999999995</v>
      </c>
      <c r="G30" s="11">
        <v>11655.239999999996</v>
      </c>
      <c r="H30" s="11">
        <v>4229.1600000000008</v>
      </c>
      <c r="I30" s="11">
        <v>4498.5600000000004</v>
      </c>
      <c r="J30" s="11">
        <v>4813.96</v>
      </c>
      <c r="K30" s="11">
        <v>4968.9199999999983</v>
      </c>
      <c r="L30" s="11">
        <v>4897.2</v>
      </c>
      <c r="M30" s="11">
        <v>4593.5199999999986</v>
      </c>
    </row>
    <row r="31" spans="1:13" x14ac:dyDescent="0.25">
      <c r="A31" s="9">
        <f t="shared" si="0"/>
        <v>46388</v>
      </c>
      <c r="B31" s="11">
        <v>11326.2</v>
      </c>
      <c r="C31" s="11">
        <v>12525.920000000009</v>
      </c>
      <c r="D31" s="11">
        <v>15561.880000000008</v>
      </c>
      <c r="E31" s="11">
        <v>16342.440000000002</v>
      </c>
      <c r="F31" s="11">
        <v>15432.199999999999</v>
      </c>
      <c r="G31" s="11">
        <v>13054.720000000007</v>
      </c>
      <c r="H31" s="11">
        <v>4673.5200000000013</v>
      </c>
      <c r="I31" s="11">
        <v>4582.4400000000005</v>
      </c>
      <c r="J31" s="11">
        <v>5087.4799999999996</v>
      </c>
      <c r="K31" s="11">
        <v>5766.7599999999984</v>
      </c>
      <c r="L31" s="11">
        <v>6050.4</v>
      </c>
      <c r="M31" s="11">
        <v>5575.6400000000021</v>
      </c>
    </row>
    <row r="32" spans="1:13" x14ac:dyDescent="0.25">
      <c r="A32" s="9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25">
      <c r="A33" s="7" t="s">
        <v>1</v>
      </c>
      <c r="B33" s="4" t="str">
        <f>'48 Part'!B33</f>
        <v>Walters Road, Kingsland, Auckland</v>
      </c>
      <c r="C33" s="6"/>
      <c r="D33" s="6"/>
      <c r="E33" s="6"/>
      <c r="F33" s="6"/>
    </row>
    <row r="34" spans="1:13" x14ac:dyDescent="0.25">
      <c r="A34" s="7" t="s">
        <v>2</v>
      </c>
      <c r="B34" s="13" t="str">
        <f>'48 Part'!B34</f>
        <v>0138572097LCAAE</v>
      </c>
      <c r="C34" s="6"/>
      <c r="D34" s="6"/>
      <c r="E34" s="6"/>
      <c r="F34" s="6"/>
    </row>
    <row r="35" spans="1:13" x14ac:dyDescent="0.25">
      <c r="A35" s="7" t="s">
        <v>3</v>
      </c>
      <c r="B35" s="14" t="str">
        <f>'48 Part'!B35</f>
        <v>ROS1101</v>
      </c>
      <c r="C35" s="6"/>
      <c r="D35" s="6"/>
      <c r="E35" s="6"/>
      <c r="F35" s="6"/>
    </row>
    <row r="36" spans="1:13" x14ac:dyDescent="0.25">
      <c r="A36" s="7" t="s">
        <v>4</v>
      </c>
      <c r="B36" s="14">
        <f>'48 Part'!B36</f>
        <v>46054</v>
      </c>
      <c r="C36" s="6"/>
      <c r="D36" s="6"/>
      <c r="E36" s="6"/>
      <c r="F36" s="6"/>
    </row>
    <row r="37" spans="1:13" x14ac:dyDescent="0.25">
      <c r="A37" s="7" t="s">
        <v>5</v>
      </c>
      <c r="B37" s="14" t="str">
        <f>'48 Part'!B37</f>
        <v>ATXT</v>
      </c>
      <c r="C37" s="8" t="s">
        <v>33</v>
      </c>
      <c r="D37" s="16" t="str">
        <f>'48 Part'!D37</f>
        <v/>
      </c>
      <c r="E37" s="6"/>
      <c r="F37" s="6"/>
    </row>
    <row r="38" spans="1:13" x14ac:dyDescent="0.25">
      <c r="A38" s="7" t="s">
        <v>6</v>
      </c>
      <c r="B38" s="4" t="str">
        <f>'48 Part'!B38</f>
        <v>VECA3</v>
      </c>
      <c r="C38" s="8" t="s">
        <v>24</v>
      </c>
      <c r="D38" s="16">
        <f>'48 Part'!D38</f>
        <v>750</v>
      </c>
      <c r="E38" s="6"/>
      <c r="F38" s="6"/>
    </row>
    <row r="39" spans="1:13" x14ac:dyDescent="0.25">
      <c r="A39" s="7" t="s">
        <v>13</v>
      </c>
      <c r="B39" s="4" t="str">
        <f>'48 Part'!B39</f>
        <v>AMCI</v>
      </c>
      <c r="C39" s="8" t="s">
        <v>14</v>
      </c>
      <c r="D39" s="16">
        <f>'48 Part'!D39</f>
        <v>4</v>
      </c>
      <c r="E39" s="6"/>
      <c r="F39" s="6"/>
    </row>
    <row r="40" spans="1:13" x14ac:dyDescent="0.25">
      <c r="A40" s="7" t="s">
        <v>15</v>
      </c>
      <c r="B40" s="4" t="str">
        <f>'48 Part'!B40</f>
        <v>L</v>
      </c>
      <c r="C40" s="7"/>
      <c r="D40" s="6"/>
      <c r="E40" s="6"/>
      <c r="F40" s="6"/>
    </row>
    <row r="41" spans="1:13" x14ac:dyDescent="0.25">
      <c r="A41" s="7" t="s">
        <v>7</v>
      </c>
      <c r="B41" s="4" t="str">
        <f>'48 Part'!B41</f>
        <v>Mercury</v>
      </c>
      <c r="C41" s="6"/>
      <c r="D41" s="6"/>
      <c r="E41" s="6"/>
      <c r="F41" s="6"/>
    </row>
    <row r="42" spans="1:13" x14ac:dyDescent="0.25">
      <c r="A42" s="7" t="s">
        <v>8</v>
      </c>
      <c r="B42" s="15">
        <f>SUM(B46:M57)</f>
        <v>1294789.1519999995</v>
      </c>
      <c r="C42" s="6" t="s">
        <v>9</v>
      </c>
      <c r="D42" s="6"/>
      <c r="E42" s="6"/>
      <c r="F42" s="6"/>
    </row>
    <row r="43" spans="1:13" x14ac:dyDescent="0.25">
      <c r="A43" s="6"/>
      <c r="B43" s="7"/>
      <c r="C43" s="7"/>
      <c r="D43" s="7"/>
      <c r="E43" s="7"/>
      <c r="F43" s="6"/>
    </row>
    <row r="44" spans="1:13" x14ac:dyDescent="0.25">
      <c r="A44" s="7" t="s">
        <v>10</v>
      </c>
      <c r="B44" s="28" t="s">
        <v>25</v>
      </c>
      <c r="C44" s="28"/>
      <c r="D44" s="28"/>
      <c r="E44" s="28"/>
      <c r="F44" s="28"/>
      <c r="G44" s="28"/>
      <c r="H44" s="28" t="s">
        <v>26</v>
      </c>
      <c r="I44" s="28"/>
      <c r="J44" s="28"/>
      <c r="K44" s="28"/>
      <c r="L44" s="28"/>
      <c r="M44" s="28"/>
    </row>
    <row r="45" spans="1:13" ht="15.75" thickBot="1" x14ac:dyDescent="0.3">
      <c r="A45" s="9"/>
      <c r="B45" s="10" t="s">
        <v>16</v>
      </c>
      <c r="C45" s="10" t="s">
        <v>17</v>
      </c>
      <c r="D45" s="10" t="s">
        <v>18</v>
      </c>
      <c r="E45" s="10" t="s">
        <v>19</v>
      </c>
      <c r="F45" s="10" t="s">
        <v>20</v>
      </c>
      <c r="G45" s="10" t="s">
        <v>21</v>
      </c>
      <c r="H45" s="10" t="s">
        <v>16</v>
      </c>
      <c r="I45" s="10" t="s">
        <v>17</v>
      </c>
      <c r="J45" s="10" t="s">
        <v>18</v>
      </c>
      <c r="K45" s="10" t="s">
        <v>19</v>
      </c>
      <c r="L45" s="10" t="s">
        <v>20</v>
      </c>
      <c r="M45" s="10" t="s">
        <v>21</v>
      </c>
    </row>
    <row r="46" spans="1:13" x14ac:dyDescent="0.25">
      <c r="A46" s="9">
        <f>B36</f>
        <v>46054</v>
      </c>
      <c r="B46" s="11">
        <v>8026.5600000000022</v>
      </c>
      <c r="C46" s="11">
        <v>9265.6</v>
      </c>
      <c r="D46" s="11">
        <v>12259.967999999995</v>
      </c>
      <c r="E46" s="11">
        <v>14362.335999999994</v>
      </c>
      <c r="F46" s="11">
        <v>12562.207999999999</v>
      </c>
      <c r="G46" s="11">
        <v>10720.576000000008</v>
      </c>
      <c r="H46" s="11">
        <v>3370.6880000000006</v>
      </c>
      <c r="I46" s="11">
        <v>3587.1039999999998</v>
      </c>
      <c r="J46" s="11">
        <v>4072.9920000000011</v>
      </c>
      <c r="K46" s="11">
        <v>5244.2560000000003</v>
      </c>
      <c r="L46" s="11">
        <v>5333.6</v>
      </c>
      <c r="M46" s="11">
        <v>4399.616</v>
      </c>
    </row>
    <row r="47" spans="1:13" x14ac:dyDescent="0.25">
      <c r="A47" s="9">
        <f>DATE(YEAR(A46),MONTH(A46)+1,DAY(A46))</f>
        <v>46082</v>
      </c>
      <c r="B47" s="11">
        <v>8787.616</v>
      </c>
      <c r="C47" s="11">
        <v>9700.4160000000065</v>
      </c>
      <c r="D47" s="11">
        <v>13603.199999999997</v>
      </c>
      <c r="E47" s="11">
        <v>15496.255999999998</v>
      </c>
      <c r="F47" s="11">
        <v>15085.34400000001</v>
      </c>
      <c r="G47" s="11">
        <v>12867.84</v>
      </c>
      <c r="H47" s="11">
        <v>5084.3839999999991</v>
      </c>
      <c r="I47" s="11">
        <v>5098.5279999999993</v>
      </c>
      <c r="J47" s="11">
        <v>5484.543999999999</v>
      </c>
      <c r="K47" s="11">
        <v>6369.887999999999</v>
      </c>
      <c r="L47" s="11">
        <v>6655.7439999999979</v>
      </c>
      <c r="M47" s="11">
        <v>5861.2160000000013</v>
      </c>
    </row>
    <row r="48" spans="1:13" x14ac:dyDescent="0.25">
      <c r="A48" s="9">
        <f t="shared" ref="A48:A57" si="1">DATE(YEAR(A47),MONTH(A47)+1,DAY(A47))</f>
        <v>46113</v>
      </c>
      <c r="B48" s="11">
        <v>8446.3039999999983</v>
      </c>
      <c r="C48" s="11">
        <v>9909.1519999999982</v>
      </c>
      <c r="D48" s="11">
        <v>12549.088000000002</v>
      </c>
      <c r="E48" s="11">
        <v>13164.64</v>
      </c>
      <c r="F48" s="11">
        <v>12299.488000000003</v>
      </c>
      <c r="G48" s="11">
        <v>10563.616000000011</v>
      </c>
      <c r="H48" s="11">
        <v>3757.0240000000003</v>
      </c>
      <c r="I48" s="11">
        <v>3483.7440000000006</v>
      </c>
      <c r="J48" s="11">
        <v>4076.3519999999999</v>
      </c>
      <c r="K48" s="11">
        <v>5303.7439999999988</v>
      </c>
      <c r="L48" s="11">
        <v>5903.7119999999977</v>
      </c>
      <c r="M48" s="11">
        <v>4795.9999999999964</v>
      </c>
    </row>
    <row r="49" spans="1:13" x14ac:dyDescent="0.25">
      <c r="A49" s="9">
        <f t="shared" si="1"/>
        <v>46143</v>
      </c>
      <c r="B49" s="11">
        <v>11211.744000000004</v>
      </c>
      <c r="C49" s="11">
        <v>15117.087999999996</v>
      </c>
      <c r="D49" s="11">
        <v>16464.544000000005</v>
      </c>
      <c r="E49" s="11">
        <v>16389.216</v>
      </c>
      <c r="F49" s="11">
        <v>16686.240000000005</v>
      </c>
      <c r="G49" s="11">
        <v>13104.928000000004</v>
      </c>
      <c r="H49" s="11">
        <v>4351.04</v>
      </c>
      <c r="I49" s="11">
        <v>4832.735999999999</v>
      </c>
      <c r="J49" s="11">
        <v>5318.0159999999996</v>
      </c>
      <c r="K49" s="11">
        <v>5913.1840000000002</v>
      </c>
      <c r="L49" s="11">
        <v>6034.2079999999987</v>
      </c>
      <c r="M49" s="11">
        <v>5193.2479999999987</v>
      </c>
    </row>
    <row r="50" spans="1:13" x14ac:dyDescent="0.25">
      <c r="A50" s="9">
        <f t="shared" si="1"/>
        <v>46174</v>
      </c>
      <c r="B50" s="11">
        <v>10408.800000000008</v>
      </c>
      <c r="C50" s="11">
        <v>14339.456</v>
      </c>
      <c r="D50" s="11">
        <v>15385.632000000001</v>
      </c>
      <c r="E50" s="11">
        <v>13925.663999999997</v>
      </c>
      <c r="F50" s="11">
        <v>14180.351999999995</v>
      </c>
      <c r="G50" s="11">
        <v>12329.664000000004</v>
      </c>
      <c r="H50" s="11">
        <v>4374.5920000000006</v>
      </c>
      <c r="I50" s="11">
        <v>4854.4320000000007</v>
      </c>
      <c r="J50" s="11">
        <v>4775.7440000000015</v>
      </c>
      <c r="K50" s="11">
        <v>4487.1679999999997</v>
      </c>
      <c r="L50" s="11">
        <v>5021.7280000000019</v>
      </c>
      <c r="M50" s="11">
        <v>4898.3679999999986</v>
      </c>
    </row>
    <row r="51" spans="1:13" x14ac:dyDescent="0.25">
      <c r="A51" s="9">
        <f t="shared" si="1"/>
        <v>46204</v>
      </c>
      <c r="B51" s="11">
        <v>11829.600000000002</v>
      </c>
      <c r="C51" s="11">
        <v>14109.759999999998</v>
      </c>
      <c r="D51" s="11">
        <v>17165.760000000002</v>
      </c>
      <c r="E51" s="11">
        <v>18380.831999999995</v>
      </c>
      <c r="F51" s="11">
        <v>18080.384000000005</v>
      </c>
      <c r="G51" s="11">
        <v>15567.392000000007</v>
      </c>
      <c r="H51" s="11">
        <v>4544.0000000000018</v>
      </c>
      <c r="I51" s="11">
        <v>4988.0960000000005</v>
      </c>
      <c r="J51" s="11">
        <v>5680.0320000000011</v>
      </c>
      <c r="K51" s="11">
        <v>6454.9759999999997</v>
      </c>
      <c r="L51" s="11">
        <v>6898.655999999999</v>
      </c>
      <c r="M51" s="11">
        <v>6031.7440000000015</v>
      </c>
    </row>
    <row r="52" spans="1:13" x14ac:dyDescent="0.25">
      <c r="A52" s="9">
        <f t="shared" si="1"/>
        <v>46235</v>
      </c>
      <c r="B52" s="11">
        <v>11316.832000000002</v>
      </c>
      <c r="C52" s="11">
        <v>13232.89600000001</v>
      </c>
      <c r="D52" s="11">
        <v>15973.216000000006</v>
      </c>
      <c r="E52" s="11">
        <v>16755.680000000004</v>
      </c>
      <c r="F52" s="11">
        <v>17103.679999999993</v>
      </c>
      <c r="G52" s="11">
        <v>15278.815999999992</v>
      </c>
      <c r="H52" s="11">
        <v>5153.1839999999984</v>
      </c>
      <c r="I52" s="11">
        <v>5367.2640000000001</v>
      </c>
      <c r="J52" s="11">
        <v>5750.9759999999987</v>
      </c>
      <c r="K52" s="11">
        <v>6188.7360000000017</v>
      </c>
      <c r="L52" s="11">
        <v>7262.8160000000025</v>
      </c>
      <c r="M52" s="11">
        <v>6356.543999999999</v>
      </c>
    </row>
    <row r="53" spans="1:13" x14ac:dyDescent="0.25">
      <c r="A53" s="9">
        <f t="shared" si="1"/>
        <v>46266</v>
      </c>
      <c r="B53" s="11">
        <v>10624.287999999999</v>
      </c>
      <c r="C53" s="11">
        <v>12243.999999999993</v>
      </c>
      <c r="D53" s="11">
        <v>14060.319999999991</v>
      </c>
      <c r="E53" s="11">
        <v>14351.456000000006</v>
      </c>
      <c r="F53" s="11">
        <v>14907.80799999999</v>
      </c>
      <c r="G53" s="11">
        <v>13295.936000000009</v>
      </c>
      <c r="H53" s="11">
        <v>4542.5280000000012</v>
      </c>
      <c r="I53" s="11">
        <v>5407.4239999999991</v>
      </c>
      <c r="J53" s="11">
        <v>5934.271999999999</v>
      </c>
      <c r="K53" s="11">
        <v>5979.1039999999985</v>
      </c>
      <c r="L53" s="11">
        <v>6092.1279999999997</v>
      </c>
      <c r="M53" s="11">
        <v>5837.8559999999989</v>
      </c>
    </row>
    <row r="54" spans="1:13" x14ac:dyDescent="0.25">
      <c r="A54" s="9">
        <f t="shared" si="1"/>
        <v>46296</v>
      </c>
      <c r="B54" s="11">
        <v>10615.392000000003</v>
      </c>
      <c r="C54" s="11">
        <v>12082.271999999997</v>
      </c>
      <c r="D54" s="11">
        <v>13475.903999999999</v>
      </c>
      <c r="E54" s="11">
        <v>12909.888000000003</v>
      </c>
      <c r="F54" s="11">
        <v>12563.839999999991</v>
      </c>
      <c r="G54" s="11">
        <v>12471.840000000006</v>
      </c>
      <c r="H54" s="11">
        <v>3696.16</v>
      </c>
      <c r="I54" s="11">
        <v>4064.543999999999</v>
      </c>
      <c r="J54" s="11">
        <v>3778.9760000000006</v>
      </c>
      <c r="K54" s="11">
        <v>3543.3919999999985</v>
      </c>
      <c r="L54" s="11">
        <v>3614.3359999999971</v>
      </c>
      <c r="M54" s="11">
        <v>3828.4479999999994</v>
      </c>
    </row>
    <row r="55" spans="1:13" x14ac:dyDescent="0.25">
      <c r="A55" s="9">
        <f t="shared" si="1"/>
        <v>46327</v>
      </c>
      <c r="B55" s="11">
        <v>10733.535999999998</v>
      </c>
      <c r="C55" s="11">
        <v>11664.832000000002</v>
      </c>
      <c r="D55" s="11">
        <v>13206.464000000004</v>
      </c>
      <c r="E55" s="11">
        <v>13669.759999999984</v>
      </c>
      <c r="F55" s="11">
        <v>13542.496000000006</v>
      </c>
      <c r="G55" s="11">
        <v>12741.792000000003</v>
      </c>
      <c r="H55" s="11">
        <v>4915.7759999999998</v>
      </c>
      <c r="I55" s="11">
        <v>5226.4000000000015</v>
      </c>
      <c r="J55" s="11">
        <v>5280.7039999999997</v>
      </c>
      <c r="K55" s="11">
        <v>5212.8640000000014</v>
      </c>
      <c r="L55" s="11">
        <v>5297.2800000000007</v>
      </c>
      <c r="M55" s="11">
        <v>5181.3760000000011</v>
      </c>
    </row>
    <row r="56" spans="1:13" x14ac:dyDescent="0.25">
      <c r="A56" s="9">
        <f t="shared" si="1"/>
        <v>46357</v>
      </c>
      <c r="B56" s="11">
        <v>8957.4079999999994</v>
      </c>
      <c r="C56" s="11">
        <v>10018.271999999994</v>
      </c>
      <c r="D56" s="11">
        <v>12588.991999999997</v>
      </c>
      <c r="E56" s="11">
        <v>13487.583999999993</v>
      </c>
      <c r="F56" s="11">
        <v>13007.263999999994</v>
      </c>
      <c r="G56" s="11">
        <v>11111.488000000003</v>
      </c>
      <c r="H56" s="11">
        <v>3643.5200000000004</v>
      </c>
      <c r="I56" s="11">
        <v>4046.784000000001</v>
      </c>
      <c r="J56" s="11">
        <v>4320.0320000000002</v>
      </c>
      <c r="K56" s="11">
        <v>4532.7680000000009</v>
      </c>
      <c r="L56" s="11">
        <v>4496.9599999999982</v>
      </c>
      <c r="M56" s="11">
        <v>4196.9599999999991</v>
      </c>
    </row>
    <row r="57" spans="1:13" x14ac:dyDescent="0.25">
      <c r="A57" s="9">
        <f t="shared" si="1"/>
        <v>46388</v>
      </c>
      <c r="B57" s="11">
        <v>9105.7919999999958</v>
      </c>
      <c r="C57" s="11">
        <v>10419.808000000001</v>
      </c>
      <c r="D57" s="11">
        <v>12682.847999999993</v>
      </c>
      <c r="E57" s="11">
        <v>14760.447999999999</v>
      </c>
      <c r="F57" s="11">
        <v>14029.472000000005</v>
      </c>
      <c r="G57" s="11">
        <v>11495.392</v>
      </c>
      <c r="H57" s="11">
        <v>4074.4320000000002</v>
      </c>
      <c r="I57" s="11">
        <v>4165.6639999999998</v>
      </c>
      <c r="J57" s="11">
        <v>4345.9840000000004</v>
      </c>
      <c r="K57" s="11">
        <v>5283.5840000000007</v>
      </c>
      <c r="L57" s="11">
        <v>5821.92</v>
      </c>
      <c r="M57" s="11">
        <v>4977.3759999999975</v>
      </c>
    </row>
    <row r="58" spans="1:13" x14ac:dyDescent="0.25">
      <c r="A58" s="9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x14ac:dyDescent="0.25">
      <c r="A59" s="7" t="s">
        <v>1</v>
      </c>
      <c r="B59" s="4" t="str">
        <f>'48 Part'!B59</f>
        <v>Walters Road, Kingsland, Auckland</v>
      </c>
      <c r="C59" s="6"/>
      <c r="D59" s="6"/>
      <c r="E59" s="6"/>
      <c r="F59" s="6"/>
    </row>
    <row r="60" spans="1:13" x14ac:dyDescent="0.25">
      <c r="A60" s="7" t="s">
        <v>2</v>
      </c>
      <c r="B60" s="13" t="str">
        <f>'48 Part'!B60</f>
        <v>0157195775LCCFD</v>
      </c>
      <c r="C60" s="6"/>
      <c r="D60" s="6"/>
      <c r="E60" s="6"/>
      <c r="F60" s="6"/>
    </row>
    <row r="61" spans="1:13" x14ac:dyDescent="0.25">
      <c r="A61" s="7" t="s">
        <v>3</v>
      </c>
      <c r="B61" s="14" t="str">
        <f>'48 Part'!B61</f>
        <v>ROS1101</v>
      </c>
      <c r="C61" s="6"/>
      <c r="D61" s="6"/>
      <c r="E61" s="6"/>
      <c r="F61" s="6"/>
    </row>
    <row r="62" spans="1:13" x14ac:dyDescent="0.25">
      <c r="A62" s="7" t="s">
        <v>4</v>
      </c>
      <c r="B62" s="14">
        <f>'48 Part'!B62</f>
        <v>46054</v>
      </c>
      <c r="C62" s="6"/>
      <c r="D62" s="6"/>
      <c r="E62" s="6"/>
      <c r="F62" s="6"/>
    </row>
    <row r="63" spans="1:13" x14ac:dyDescent="0.25">
      <c r="A63" s="7" t="s">
        <v>5</v>
      </c>
      <c r="B63" s="14" t="str">
        <f>'48 Part'!B63</f>
        <v>ATXT</v>
      </c>
      <c r="C63" s="8" t="s">
        <v>33</v>
      </c>
      <c r="D63" s="16" t="str">
        <f>'48 Part'!D63</f>
        <v/>
      </c>
      <c r="E63" s="6"/>
      <c r="F63" s="6"/>
    </row>
    <row r="64" spans="1:13" x14ac:dyDescent="0.25">
      <c r="A64" s="7" t="s">
        <v>6</v>
      </c>
      <c r="B64" s="4" t="str">
        <f>'48 Part'!B64</f>
        <v>VECA3</v>
      </c>
      <c r="C64" s="8" t="s">
        <v>24</v>
      </c>
      <c r="D64" s="16">
        <f>'48 Part'!D64</f>
        <v>1500</v>
      </c>
      <c r="E64" s="6"/>
      <c r="F64" s="6"/>
    </row>
    <row r="65" spans="1:13" x14ac:dyDescent="0.25">
      <c r="A65" s="7" t="s">
        <v>13</v>
      </c>
      <c r="B65" s="4" t="str">
        <f>'48 Part'!B65</f>
        <v>AMCI</v>
      </c>
      <c r="C65" s="8" t="s">
        <v>14</v>
      </c>
      <c r="D65" s="16">
        <f>'48 Part'!D65</f>
        <v>3</v>
      </c>
      <c r="E65" s="6"/>
      <c r="F65" s="6"/>
    </row>
    <row r="66" spans="1:13" x14ac:dyDescent="0.25">
      <c r="A66" s="7" t="s">
        <v>15</v>
      </c>
      <c r="B66" s="4" t="str">
        <f>'48 Part'!B66</f>
        <v>L</v>
      </c>
      <c r="C66" s="7"/>
      <c r="D66" s="6"/>
      <c r="E66" s="6"/>
      <c r="F66" s="6"/>
    </row>
    <row r="67" spans="1:13" x14ac:dyDescent="0.25">
      <c r="A67" s="7" t="s">
        <v>7</v>
      </c>
      <c r="B67" s="4" t="str">
        <f>'48 Part'!B67</f>
        <v>Mercury</v>
      </c>
      <c r="C67" s="6"/>
      <c r="D67" s="6"/>
      <c r="E67" s="6"/>
      <c r="F67" s="6"/>
    </row>
    <row r="68" spans="1:13" x14ac:dyDescent="0.25">
      <c r="A68" s="7" t="s">
        <v>8</v>
      </c>
      <c r="B68" s="15">
        <f>SUM(B72:M83)</f>
        <v>1695359.4479999999</v>
      </c>
      <c r="C68" s="6" t="s">
        <v>9</v>
      </c>
      <c r="D68" s="6"/>
      <c r="E68" s="6"/>
      <c r="F68" s="6"/>
    </row>
    <row r="69" spans="1:13" x14ac:dyDescent="0.25">
      <c r="A69" s="6"/>
      <c r="B69" s="7"/>
      <c r="C69" s="7"/>
      <c r="D69" s="7"/>
      <c r="E69" s="7"/>
      <c r="F69" s="6"/>
    </row>
    <row r="70" spans="1:13" x14ac:dyDescent="0.25">
      <c r="A70" s="7" t="s">
        <v>10</v>
      </c>
      <c r="B70" s="28" t="s">
        <v>25</v>
      </c>
      <c r="C70" s="28"/>
      <c r="D70" s="28"/>
      <c r="E70" s="28"/>
      <c r="F70" s="28"/>
      <c r="G70" s="28"/>
      <c r="H70" s="28" t="s">
        <v>26</v>
      </c>
      <c r="I70" s="28"/>
      <c r="J70" s="28"/>
      <c r="K70" s="28"/>
      <c r="L70" s="28"/>
      <c r="M70" s="28"/>
    </row>
    <row r="71" spans="1:13" ht="15.75" thickBot="1" x14ac:dyDescent="0.3">
      <c r="A71" s="9"/>
      <c r="B71" s="10" t="s">
        <v>16</v>
      </c>
      <c r="C71" s="10" t="s">
        <v>17</v>
      </c>
      <c r="D71" s="10" t="s">
        <v>18</v>
      </c>
      <c r="E71" s="10" t="s">
        <v>19</v>
      </c>
      <c r="F71" s="10" t="s">
        <v>20</v>
      </c>
      <c r="G71" s="10" t="s">
        <v>21</v>
      </c>
      <c r="H71" s="10" t="s">
        <v>16</v>
      </c>
      <c r="I71" s="10" t="s">
        <v>17</v>
      </c>
      <c r="J71" s="10" t="s">
        <v>18</v>
      </c>
      <c r="K71" s="10" t="s">
        <v>19</v>
      </c>
      <c r="L71" s="10" t="s">
        <v>20</v>
      </c>
      <c r="M71" s="10" t="s">
        <v>21</v>
      </c>
    </row>
    <row r="72" spans="1:13" x14ac:dyDescent="0.25">
      <c r="A72" s="9">
        <f>B62</f>
        <v>46054</v>
      </c>
      <c r="B72" s="11">
        <v>10693.655999999994</v>
      </c>
      <c r="C72" s="11">
        <v>11323.415999999999</v>
      </c>
      <c r="D72" s="11">
        <v>13910.711999999998</v>
      </c>
      <c r="E72" s="11">
        <v>15242.759999999991</v>
      </c>
      <c r="F72" s="11">
        <v>13255.727999999992</v>
      </c>
      <c r="G72" s="11">
        <v>11742.767999999995</v>
      </c>
      <c r="H72" s="11">
        <v>4452.5520000000006</v>
      </c>
      <c r="I72" s="11">
        <v>4488.4079999999985</v>
      </c>
      <c r="J72" s="11">
        <v>4949.688000000001</v>
      </c>
      <c r="K72" s="11">
        <v>5452.1280000000024</v>
      </c>
      <c r="L72" s="11">
        <v>5693.256000000004</v>
      </c>
      <c r="M72" s="11">
        <v>5009.4000000000005</v>
      </c>
    </row>
    <row r="73" spans="1:13" x14ac:dyDescent="0.25">
      <c r="A73" s="9">
        <f>DATE(YEAR(A72),MONTH(A72)+1,DAY(A72))</f>
        <v>46082</v>
      </c>
      <c r="B73" s="11">
        <v>12054.576000000003</v>
      </c>
      <c r="C73" s="11">
        <v>13441.079999999998</v>
      </c>
      <c r="D73" s="11">
        <v>17588.568000000003</v>
      </c>
      <c r="E73" s="11">
        <v>18327.527999999995</v>
      </c>
      <c r="F73" s="11">
        <v>17590.41599999999</v>
      </c>
      <c r="G73" s="11">
        <v>15240.047999999997</v>
      </c>
      <c r="H73" s="11">
        <v>6596.7359999999999</v>
      </c>
      <c r="I73" s="11">
        <v>6540.5999999999976</v>
      </c>
      <c r="J73" s="11">
        <v>6966.9600000000037</v>
      </c>
      <c r="K73" s="11">
        <v>7179.9599999999973</v>
      </c>
      <c r="L73" s="11">
        <v>7318.0559999999996</v>
      </c>
      <c r="M73" s="11">
        <v>6658.2720000000008</v>
      </c>
    </row>
    <row r="74" spans="1:13" x14ac:dyDescent="0.25">
      <c r="A74" s="9">
        <f t="shared" ref="A74:A83" si="2">DATE(YEAR(A73),MONTH(A73)+1,DAY(A73))</f>
        <v>46113</v>
      </c>
      <c r="B74" s="11">
        <v>12584.976000000004</v>
      </c>
      <c r="C74" s="11">
        <v>13719.839999999998</v>
      </c>
      <c r="D74" s="11">
        <v>17296.871999999992</v>
      </c>
      <c r="E74" s="11">
        <v>17019.624000000003</v>
      </c>
      <c r="F74" s="11">
        <v>15189.023999999999</v>
      </c>
      <c r="G74" s="11">
        <v>13807.800000000001</v>
      </c>
      <c r="H74" s="11">
        <v>5244.0719999999992</v>
      </c>
      <c r="I74" s="11">
        <v>4872.7679999999991</v>
      </c>
      <c r="J74" s="11">
        <v>5532.2880000000005</v>
      </c>
      <c r="K74" s="11">
        <v>6639.9839999999995</v>
      </c>
      <c r="L74" s="11">
        <v>7194.6000000000022</v>
      </c>
      <c r="M74" s="11">
        <v>6011.9520000000002</v>
      </c>
    </row>
    <row r="75" spans="1:13" x14ac:dyDescent="0.25">
      <c r="A75" s="9">
        <f t="shared" si="2"/>
        <v>46143</v>
      </c>
      <c r="B75" s="11">
        <v>14544.527999999993</v>
      </c>
      <c r="C75" s="11">
        <v>16435.296000000002</v>
      </c>
      <c r="D75" s="11">
        <v>21036.719999999983</v>
      </c>
      <c r="E75" s="11">
        <v>22208.376</v>
      </c>
      <c r="F75" s="11">
        <v>21428.135999999984</v>
      </c>
      <c r="G75" s="11">
        <v>17187.863999999994</v>
      </c>
      <c r="H75" s="11">
        <v>6085.0319999999992</v>
      </c>
      <c r="I75" s="11">
        <v>6783.9600000000019</v>
      </c>
      <c r="J75" s="11">
        <v>7439.9279999999981</v>
      </c>
      <c r="K75" s="11">
        <v>7970.3760000000011</v>
      </c>
      <c r="L75" s="11">
        <v>8273.9520000000011</v>
      </c>
      <c r="M75" s="11">
        <v>7049.7839999999978</v>
      </c>
    </row>
    <row r="76" spans="1:13" x14ac:dyDescent="0.25">
      <c r="A76" s="9">
        <f t="shared" si="2"/>
        <v>46174</v>
      </c>
      <c r="B76" s="11">
        <v>14129.255999999994</v>
      </c>
      <c r="C76" s="11">
        <v>16117.415999999994</v>
      </c>
      <c r="D76" s="11">
        <v>18467.064000000006</v>
      </c>
      <c r="E76" s="11">
        <v>17252.040000000005</v>
      </c>
      <c r="F76" s="11">
        <v>16993.847999999991</v>
      </c>
      <c r="G76" s="11">
        <v>15755.376000000002</v>
      </c>
      <c r="H76" s="11">
        <v>5826.1440000000002</v>
      </c>
      <c r="I76" s="11">
        <v>6645.072000000001</v>
      </c>
      <c r="J76" s="11">
        <v>6338.8080000000018</v>
      </c>
      <c r="K76" s="11">
        <v>5659.3680000000004</v>
      </c>
      <c r="L76" s="11">
        <v>6252.4320000000007</v>
      </c>
      <c r="M76" s="11">
        <v>6541.6320000000014</v>
      </c>
    </row>
    <row r="77" spans="1:13" x14ac:dyDescent="0.25">
      <c r="A77" s="9">
        <f t="shared" si="2"/>
        <v>46204</v>
      </c>
      <c r="B77" s="11">
        <v>19412.207999999995</v>
      </c>
      <c r="C77" s="11">
        <v>21798.888000000017</v>
      </c>
      <c r="D77" s="11">
        <v>25271.327999999983</v>
      </c>
      <c r="E77" s="11">
        <v>23807.087999999982</v>
      </c>
      <c r="F77" s="11">
        <v>23875.176000000003</v>
      </c>
      <c r="G77" s="11">
        <v>21849.959999999995</v>
      </c>
      <c r="H77" s="11">
        <v>7179.9360000000015</v>
      </c>
      <c r="I77" s="11">
        <v>7688.4240000000018</v>
      </c>
      <c r="J77" s="11">
        <v>8233.5839999999971</v>
      </c>
      <c r="K77" s="11">
        <v>8871.6479999999992</v>
      </c>
      <c r="L77" s="11">
        <v>9590.1600000000017</v>
      </c>
      <c r="M77" s="11">
        <v>8693.232</v>
      </c>
    </row>
    <row r="78" spans="1:13" x14ac:dyDescent="0.25">
      <c r="A78" s="9">
        <f t="shared" si="2"/>
        <v>46235</v>
      </c>
      <c r="B78" s="11">
        <v>17873.184000000012</v>
      </c>
      <c r="C78" s="11">
        <v>20042.784000000003</v>
      </c>
      <c r="D78" s="11">
        <v>23509.751999999989</v>
      </c>
      <c r="E78" s="11">
        <v>22872.048000000017</v>
      </c>
      <c r="F78" s="11">
        <v>22686.312000000002</v>
      </c>
      <c r="G78" s="11">
        <v>20492.687999999995</v>
      </c>
      <c r="H78" s="11">
        <v>7790.1119999999983</v>
      </c>
      <c r="I78" s="11">
        <v>8345.9279999999999</v>
      </c>
      <c r="J78" s="11">
        <v>8645.9760000000024</v>
      </c>
      <c r="K78" s="11">
        <v>8616.9119999999984</v>
      </c>
      <c r="L78" s="11">
        <v>9862.1519999999964</v>
      </c>
      <c r="M78" s="11">
        <v>8950.1279999999988</v>
      </c>
    </row>
    <row r="79" spans="1:13" x14ac:dyDescent="0.25">
      <c r="A79" s="9">
        <f t="shared" si="2"/>
        <v>46266</v>
      </c>
      <c r="B79" s="11">
        <v>16230.935999999998</v>
      </c>
      <c r="C79" s="11">
        <v>18824.880000000005</v>
      </c>
      <c r="D79" s="11">
        <v>21021.672000000002</v>
      </c>
      <c r="E79" s="11">
        <v>19263.57599999999</v>
      </c>
      <c r="F79" s="11">
        <v>18430.608000000007</v>
      </c>
      <c r="G79" s="11">
        <v>18259.944000000007</v>
      </c>
      <c r="H79" s="11">
        <v>7069.6320000000032</v>
      </c>
      <c r="I79" s="11">
        <v>8158.7039999999997</v>
      </c>
      <c r="J79" s="11">
        <v>7857.7440000000024</v>
      </c>
      <c r="K79" s="11">
        <v>7938.3120000000008</v>
      </c>
      <c r="L79" s="11">
        <v>7840.5359999999982</v>
      </c>
      <c r="M79" s="11">
        <v>8069.9039999999977</v>
      </c>
    </row>
    <row r="80" spans="1:13" x14ac:dyDescent="0.25">
      <c r="A80" s="9">
        <f t="shared" si="2"/>
        <v>46296</v>
      </c>
      <c r="B80" s="11">
        <v>15335.904</v>
      </c>
      <c r="C80" s="11">
        <v>18382.896000000004</v>
      </c>
      <c r="D80" s="11">
        <v>21157.391999999985</v>
      </c>
      <c r="E80" s="11">
        <v>19288.152000000016</v>
      </c>
      <c r="F80" s="11">
        <v>18523.872000000007</v>
      </c>
      <c r="G80" s="11">
        <v>18047.111999999997</v>
      </c>
      <c r="H80" s="11">
        <v>5044.5360000000001</v>
      </c>
      <c r="I80" s="11">
        <v>6282.9599999999982</v>
      </c>
      <c r="J80" s="11">
        <v>6427.8959999999997</v>
      </c>
      <c r="K80" s="11">
        <v>5501.927999999999</v>
      </c>
      <c r="L80" s="11">
        <v>5514.3600000000006</v>
      </c>
      <c r="M80" s="11">
        <v>5319.48</v>
      </c>
    </row>
    <row r="81" spans="1:13" x14ac:dyDescent="0.25">
      <c r="A81" s="9">
        <f t="shared" si="2"/>
        <v>46327</v>
      </c>
      <c r="B81" s="11">
        <v>12521.591999999999</v>
      </c>
      <c r="C81" s="11">
        <v>14694.792000000001</v>
      </c>
      <c r="D81" s="11">
        <v>15919.655999999995</v>
      </c>
      <c r="E81" s="11">
        <v>16170.263999999999</v>
      </c>
      <c r="F81" s="11">
        <v>17385.024000000009</v>
      </c>
      <c r="G81" s="11">
        <v>15527.519999999997</v>
      </c>
      <c r="H81" s="11">
        <v>5664.5519999999997</v>
      </c>
      <c r="I81" s="11">
        <v>6531.5039999999981</v>
      </c>
      <c r="J81" s="11">
        <v>6705.384</v>
      </c>
      <c r="K81" s="11">
        <v>6458.0159999999996</v>
      </c>
      <c r="L81" s="11">
        <v>6797.8319999999985</v>
      </c>
      <c r="M81" s="11">
        <v>6239.9040000000014</v>
      </c>
    </row>
    <row r="82" spans="1:13" x14ac:dyDescent="0.25">
      <c r="A82" s="9">
        <f t="shared" si="2"/>
        <v>46357</v>
      </c>
      <c r="B82" s="11">
        <v>11069.807999999995</v>
      </c>
      <c r="C82" s="11">
        <v>12963.240000000003</v>
      </c>
      <c r="D82" s="11">
        <v>15358.320000000003</v>
      </c>
      <c r="E82" s="11">
        <v>15763.896000000002</v>
      </c>
      <c r="F82" s="11">
        <v>16057.704000000009</v>
      </c>
      <c r="G82" s="11">
        <v>13319.255999999999</v>
      </c>
      <c r="H82" s="11">
        <v>4459.3439999999991</v>
      </c>
      <c r="I82" s="11">
        <v>5184.84</v>
      </c>
      <c r="J82" s="11">
        <v>5514.36</v>
      </c>
      <c r="K82" s="11">
        <v>5488.6320000000005</v>
      </c>
      <c r="L82" s="11">
        <v>5455.1519999999991</v>
      </c>
      <c r="M82" s="11">
        <v>5155.1759999999986</v>
      </c>
    </row>
    <row r="83" spans="1:13" x14ac:dyDescent="0.25">
      <c r="A83" s="9">
        <f t="shared" si="2"/>
        <v>46388</v>
      </c>
      <c r="B83" s="11">
        <v>11663.255999999999</v>
      </c>
      <c r="C83" s="11">
        <v>13266.600000000002</v>
      </c>
      <c r="D83" s="11">
        <v>15727.895999999997</v>
      </c>
      <c r="E83" s="11">
        <v>16710.456000000002</v>
      </c>
      <c r="F83" s="11">
        <v>16113.215999999989</v>
      </c>
      <c r="G83" s="11">
        <v>13698.456</v>
      </c>
      <c r="H83" s="11">
        <v>4860.695999999999</v>
      </c>
      <c r="I83" s="11">
        <v>5065.0320000000002</v>
      </c>
      <c r="J83" s="11">
        <v>5353.3679999999995</v>
      </c>
      <c r="K83" s="11">
        <v>5585.9039999999986</v>
      </c>
      <c r="L83" s="11">
        <v>6233.3040000000001</v>
      </c>
      <c r="M83" s="11">
        <v>5669.4719999999988</v>
      </c>
    </row>
    <row r="84" spans="1:13" x14ac:dyDescent="0.25">
      <c r="A84" s="9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3" x14ac:dyDescent="0.25">
      <c r="A85" s="7" t="s">
        <v>1</v>
      </c>
      <c r="B85" s="4" t="str">
        <f>'48 Part'!B85</f>
        <v>4-42 Reimers Avenue, Mount Eden, Auckland</v>
      </c>
      <c r="C85" s="6"/>
      <c r="D85" s="6"/>
      <c r="E85" s="6"/>
      <c r="F85" s="6"/>
    </row>
    <row r="86" spans="1:13" x14ac:dyDescent="0.25">
      <c r="A86" s="7" t="s">
        <v>2</v>
      </c>
      <c r="B86" s="13" t="str">
        <f>'48 Part'!B86</f>
        <v>1001153957LC737</v>
      </c>
      <c r="C86" s="6"/>
      <c r="D86" s="6"/>
      <c r="E86" s="6"/>
      <c r="F86" s="6"/>
    </row>
    <row r="87" spans="1:13" x14ac:dyDescent="0.25">
      <c r="A87" s="7" t="s">
        <v>3</v>
      </c>
      <c r="B87" s="14" t="str">
        <f>'48 Part'!B87</f>
        <v>ROS1101</v>
      </c>
      <c r="C87" s="6"/>
      <c r="D87" s="6"/>
      <c r="E87" s="6"/>
      <c r="F87" s="6"/>
    </row>
    <row r="88" spans="1:13" x14ac:dyDescent="0.25">
      <c r="A88" s="7" t="s">
        <v>4</v>
      </c>
      <c r="B88" s="14">
        <f>'48 Part'!B88</f>
        <v>46054</v>
      </c>
      <c r="C88" s="6"/>
      <c r="D88" s="6"/>
      <c r="E88" s="6"/>
      <c r="F88" s="6"/>
    </row>
    <row r="89" spans="1:13" x14ac:dyDescent="0.25">
      <c r="A89" s="7" t="s">
        <v>5</v>
      </c>
      <c r="B89" s="14" t="str">
        <f>'48 Part'!B89</f>
        <v>ATXT</v>
      </c>
      <c r="C89" s="8" t="s">
        <v>33</v>
      </c>
      <c r="D89" s="16" t="str">
        <f>'48 Part'!D89</f>
        <v/>
      </c>
      <c r="E89" s="6"/>
      <c r="F89" s="6"/>
    </row>
    <row r="90" spans="1:13" x14ac:dyDescent="0.25">
      <c r="A90" s="7" t="s">
        <v>6</v>
      </c>
      <c r="B90" s="4" t="str">
        <f>'48 Part'!B90</f>
        <v>VECA3</v>
      </c>
      <c r="C90" s="8" t="s">
        <v>24</v>
      </c>
      <c r="D90" s="16">
        <f>'48 Part'!D90</f>
        <v>1000</v>
      </c>
      <c r="E90" s="6"/>
      <c r="F90" s="6"/>
    </row>
    <row r="91" spans="1:13" x14ac:dyDescent="0.25">
      <c r="A91" s="7" t="s">
        <v>13</v>
      </c>
      <c r="B91" s="4" t="str">
        <f>'48 Part'!B91</f>
        <v>AMCI</v>
      </c>
      <c r="C91" s="8" t="s">
        <v>14</v>
      </c>
      <c r="D91" s="16">
        <f>'48 Part'!D91</f>
        <v>4</v>
      </c>
      <c r="E91" s="6"/>
      <c r="F91" s="6"/>
    </row>
    <row r="92" spans="1:13" x14ac:dyDescent="0.25">
      <c r="A92" s="7" t="s">
        <v>15</v>
      </c>
      <c r="B92" s="4" t="str">
        <f>'48 Part'!B92</f>
        <v>L</v>
      </c>
      <c r="C92" s="7"/>
      <c r="D92" s="6"/>
      <c r="E92" s="6"/>
      <c r="F92" s="6"/>
    </row>
    <row r="93" spans="1:13" x14ac:dyDescent="0.25">
      <c r="A93" s="7" t="s">
        <v>7</v>
      </c>
      <c r="B93" s="4" t="str">
        <f>'48 Part'!B93</f>
        <v>Mercury</v>
      </c>
      <c r="C93" s="6"/>
      <c r="D93" s="6"/>
      <c r="E93" s="6"/>
      <c r="F93" s="6"/>
    </row>
    <row r="94" spans="1:13" x14ac:dyDescent="0.25">
      <c r="A94" s="7" t="s">
        <v>8</v>
      </c>
      <c r="B94" s="15">
        <f>SUM(B98:M109)</f>
        <v>2283477.7280000001</v>
      </c>
      <c r="C94" s="6" t="s">
        <v>9</v>
      </c>
      <c r="D94" s="6"/>
      <c r="E94" s="6"/>
      <c r="F94" s="6"/>
    </row>
    <row r="95" spans="1:13" x14ac:dyDescent="0.25">
      <c r="A95" s="6"/>
      <c r="B95" s="7"/>
      <c r="C95" s="7"/>
      <c r="D95" s="7"/>
      <c r="E95" s="7"/>
      <c r="F95" s="6"/>
    </row>
    <row r="96" spans="1:13" x14ac:dyDescent="0.25">
      <c r="A96" s="7" t="s">
        <v>10</v>
      </c>
      <c r="B96" s="28" t="s">
        <v>25</v>
      </c>
      <c r="C96" s="28"/>
      <c r="D96" s="28"/>
      <c r="E96" s="28"/>
      <c r="F96" s="28"/>
      <c r="G96" s="28"/>
      <c r="H96" s="28" t="s">
        <v>26</v>
      </c>
      <c r="I96" s="28"/>
      <c r="J96" s="28"/>
      <c r="K96" s="28"/>
      <c r="L96" s="28"/>
      <c r="M96" s="28"/>
    </row>
    <row r="97" spans="1:13" ht="15.75" thickBot="1" x14ac:dyDescent="0.3">
      <c r="A97" s="9"/>
      <c r="B97" s="10" t="s">
        <v>16</v>
      </c>
      <c r="C97" s="10" t="s">
        <v>17</v>
      </c>
      <c r="D97" s="10" t="s">
        <v>18</v>
      </c>
      <c r="E97" s="10" t="s">
        <v>19</v>
      </c>
      <c r="F97" s="10" t="s">
        <v>20</v>
      </c>
      <c r="G97" s="10" t="s">
        <v>21</v>
      </c>
      <c r="H97" s="10" t="s">
        <v>16</v>
      </c>
      <c r="I97" s="10" t="s">
        <v>17</v>
      </c>
      <c r="J97" s="10" t="s">
        <v>18</v>
      </c>
      <c r="K97" s="10" t="s">
        <v>19</v>
      </c>
      <c r="L97" s="10" t="s">
        <v>20</v>
      </c>
      <c r="M97" s="10" t="s">
        <v>21</v>
      </c>
    </row>
    <row r="98" spans="1:13" x14ac:dyDescent="0.25">
      <c r="A98" s="9">
        <f>B88</f>
        <v>46054</v>
      </c>
      <c r="B98" s="11">
        <v>15695.072</v>
      </c>
      <c r="C98" s="11">
        <v>20382.816000000003</v>
      </c>
      <c r="D98" s="11">
        <v>26215.360000000001</v>
      </c>
      <c r="E98" s="11">
        <v>28062.624000000003</v>
      </c>
      <c r="F98" s="11">
        <v>25186.271999999994</v>
      </c>
      <c r="G98" s="11">
        <v>20503.968000000012</v>
      </c>
      <c r="H98" s="11">
        <v>6531.1040000000003</v>
      </c>
      <c r="I98" s="11">
        <v>8013.8240000000014</v>
      </c>
      <c r="J98" s="11">
        <v>9052.768</v>
      </c>
      <c r="K98" s="11">
        <v>9932.6079999999965</v>
      </c>
      <c r="L98" s="11">
        <v>10168.800000000001</v>
      </c>
      <c r="M98" s="11">
        <v>8365.3439999999991</v>
      </c>
    </row>
    <row r="99" spans="1:13" x14ac:dyDescent="0.25">
      <c r="A99" s="9">
        <f>DATE(YEAR(A98),MONTH(A98)+1,DAY(A98))</f>
        <v>46082</v>
      </c>
      <c r="B99" s="11">
        <v>17446.303999999993</v>
      </c>
      <c r="C99" s="11">
        <v>22181.247999999996</v>
      </c>
      <c r="D99" s="11">
        <v>28613.696</v>
      </c>
      <c r="E99" s="11">
        <v>30132.832000000009</v>
      </c>
      <c r="F99" s="11">
        <v>29563.903999999999</v>
      </c>
      <c r="G99" s="11">
        <v>24568.736000000012</v>
      </c>
      <c r="H99" s="11">
        <v>8627.712000000005</v>
      </c>
      <c r="I99" s="11">
        <v>10122.783999999998</v>
      </c>
      <c r="J99" s="11">
        <v>11152.064</v>
      </c>
      <c r="K99" s="11">
        <v>12013.535999999998</v>
      </c>
      <c r="L99" s="11">
        <v>12522.144000000008</v>
      </c>
      <c r="M99" s="11">
        <v>10671.104000000005</v>
      </c>
    </row>
    <row r="100" spans="1:13" x14ac:dyDescent="0.25">
      <c r="A100" s="9">
        <f t="shared" ref="A100:A109" si="3">DATE(YEAR(A99),MONTH(A99)+1,DAY(A99))</f>
        <v>46113</v>
      </c>
      <c r="B100" s="11">
        <v>16283.456000000002</v>
      </c>
      <c r="C100" s="11">
        <v>20734.399999999994</v>
      </c>
      <c r="D100" s="11">
        <v>26901.823999999993</v>
      </c>
      <c r="E100" s="11">
        <v>27446.271999999979</v>
      </c>
      <c r="F100" s="11">
        <v>24902.944</v>
      </c>
      <c r="G100" s="11">
        <v>20915.16799999998</v>
      </c>
      <c r="H100" s="11">
        <v>6622.5279999999984</v>
      </c>
      <c r="I100" s="11">
        <v>7505.3119999999981</v>
      </c>
      <c r="J100" s="11">
        <v>9130.3040000000019</v>
      </c>
      <c r="K100" s="11">
        <v>10171.871999999999</v>
      </c>
      <c r="L100" s="11">
        <v>10717.695999999998</v>
      </c>
      <c r="M100" s="11">
        <v>8640.7040000000015</v>
      </c>
    </row>
    <row r="101" spans="1:13" x14ac:dyDescent="0.25">
      <c r="A101" s="9">
        <f t="shared" si="3"/>
        <v>46143</v>
      </c>
      <c r="B101" s="11">
        <v>15282.976000000002</v>
      </c>
      <c r="C101" s="11">
        <v>19314.111999999994</v>
      </c>
      <c r="D101" s="11">
        <v>26339.136000000006</v>
      </c>
      <c r="E101" s="11">
        <v>27146.272000000008</v>
      </c>
      <c r="F101" s="11">
        <v>25856.672000000013</v>
      </c>
      <c r="G101" s="11">
        <v>21284.479999999996</v>
      </c>
      <c r="H101" s="11">
        <v>6444.2240000000011</v>
      </c>
      <c r="I101" s="11">
        <v>7409.9519999999993</v>
      </c>
      <c r="J101" s="11">
        <v>9163.8719999999994</v>
      </c>
      <c r="K101" s="11">
        <v>9648.4159999999993</v>
      </c>
      <c r="L101" s="11">
        <v>9651.8719999999994</v>
      </c>
      <c r="M101" s="11">
        <v>7953.7919999999986</v>
      </c>
    </row>
    <row r="102" spans="1:13" x14ac:dyDescent="0.25">
      <c r="A102" s="9">
        <f t="shared" si="3"/>
        <v>46174</v>
      </c>
      <c r="B102" s="11">
        <v>13390.272000000001</v>
      </c>
      <c r="C102" s="11">
        <v>17535.807999999997</v>
      </c>
      <c r="D102" s="11">
        <v>23636.736000000019</v>
      </c>
      <c r="E102" s="11">
        <v>23328.448000000008</v>
      </c>
      <c r="F102" s="11">
        <v>21818.592000000015</v>
      </c>
      <c r="G102" s="11">
        <v>18015.520000000011</v>
      </c>
      <c r="H102" s="11">
        <v>5755.4880000000003</v>
      </c>
      <c r="I102" s="11">
        <v>6763.1679999999978</v>
      </c>
      <c r="J102" s="11">
        <v>7973.7599999999984</v>
      </c>
      <c r="K102" s="11">
        <v>8002.5600000000013</v>
      </c>
      <c r="L102" s="11">
        <v>7706.079999999999</v>
      </c>
      <c r="M102" s="11">
        <v>6807.84</v>
      </c>
    </row>
    <row r="103" spans="1:13" x14ac:dyDescent="0.25">
      <c r="A103" s="9">
        <f t="shared" si="3"/>
        <v>46204</v>
      </c>
      <c r="B103" s="11">
        <v>17760.255999999994</v>
      </c>
      <c r="C103" s="11">
        <v>20927.200000000008</v>
      </c>
      <c r="D103" s="11">
        <v>28118.207999999988</v>
      </c>
      <c r="E103" s="11">
        <v>28434.111999999994</v>
      </c>
      <c r="F103" s="11">
        <v>25047.520000000008</v>
      </c>
      <c r="G103" s="11">
        <v>21458.208000000002</v>
      </c>
      <c r="H103" s="11">
        <v>6734.0159999999978</v>
      </c>
      <c r="I103" s="11">
        <v>7409.1519999999991</v>
      </c>
      <c r="J103" s="11">
        <v>8839.5519999999997</v>
      </c>
      <c r="K103" s="11">
        <v>9529.1200000000026</v>
      </c>
      <c r="L103" s="11">
        <v>9689.5679999999993</v>
      </c>
      <c r="M103" s="11">
        <v>8446.0480000000007</v>
      </c>
    </row>
    <row r="104" spans="1:13" x14ac:dyDescent="0.25">
      <c r="A104" s="9">
        <f t="shared" si="3"/>
        <v>46235</v>
      </c>
      <c r="B104" s="11">
        <v>16430.496000000003</v>
      </c>
      <c r="C104" s="11">
        <v>20794.943999999981</v>
      </c>
      <c r="D104" s="11">
        <v>27271.743999999995</v>
      </c>
      <c r="E104" s="11">
        <v>27523.040000000015</v>
      </c>
      <c r="F104" s="11">
        <v>25357.151999999987</v>
      </c>
      <c r="G104" s="11">
        <v>21698.783999999992</v>
      </c>
      <c r="H104" s="11">
        <v>7431.8079999999964</v>
      </c>
      <c r="I104" s="11">
        <v>8295.8080000000027</v>
      </c>
      <c r="J104" s="11">
        <v>9717.3439999999991</v>
      </c>
      <c r="K104" s="11">
        <v>10448.191999999997</v>
      </c>
      <c r="L104" s="11">
        <v>11213.407999999999</v>
      </c>
      <c r="M104" s="11">
        <v>9263.3280000000013</v>
      </c>
    </row>
    <row r="105" spans="1:13" x14ac:dyDescent="0.25">
      <c r="A105" s="9">
        <f t="shared" si="3"/>
        <v>46266</v>
      </c>
      <c r="B105" s="11">
        <v>15766.528000000004</v>
      </c>
      <c r="C105" s="11">
        <v>19865.759999999998</v>
      </c>
      <c r="D105" s="11">
        <v>25315.648000000005</v>
      </c>
      <c r="E105" s="11">
        <v>25358.207999999999</v>
      </c>
      <c r="F105" s="11">
        <v>23026.560000000012</v>
      </c>
      <c r="G105" s="11">
        <v>19553.664000000004</v>
      </c>
      <c r="H105" s="11">
        <v>6707.5839999999998</v>
      </c>
      <c r="I105" s="11">
        <v>8247.5200000000023</v>
      </c>
      <c r="J105" s="11">
        <v>9901.1520000000019</v>
      </c>
      <c r="K105" s="11">
        <v>10642.687999999998</v>
      </c>
      <c r="L105" s="11">
        <v>10661.152000000004</v>
      </c>
      <c r="M105" s="11">
        <v>9277.2800000000025</v>
      </c>
    </row>
    <row r="106" spans="1:13" x14ac:dyDescent="0.25">
      <c r="A106" s="9">
        <f t="shared" si="3"/>
        <v>46296</v>
      </c>
      <c r="B106" s="11">
        <v>17747.84</v>
      </c>
      <c r="C106" s="11">
        <v>21672.959999999988</v>
      </c>
      <c r="D106" s="11">
        <v>27566.368000000006</v>
      </c>
      <c r="E106" s="11">
        <v>28210.496000000003</v>
      </c>
      <c r="F106" s="11">
        <v>25896.16</v>
      </c>
      <c r="G106" s="11">
        <v>22569.376</v>
      </c>
      <c r="H106" s="11">
        <v>5933.2480000000023</v>
      </c>
      <c r="I106" s="11">
        <v>7002.4320000000016</v>
      </c>
      <c r="J106" s="11">
        <v>8044.6080000000002</v>
      </c>
      <c r="K106" s="11">
        <v>8300.5120000000024</v>
      </c>
      <c r="L106" s="11">
        <v>7851.3279999999968</v>
      </c>
      <c r="M106" s="11">
        <v>7074.3040000000001</v>
      </c>
    </row>
    <row r="107" spans="1:13" x14ac:dyDescent="0.25">
      <c r="A107" s="9">
        <f t="shared" si="3"/>
        <v>46327</v>
      </c>
      <c r="B107" s="11">
        <v>17222.239999999998</v>
      </c>
      <c r="C107" s="11">
        <v>20752.671999999991</v>
      </c>
      <c r="D107" s="11">
        <v>26107.904000000002</v>
      </c>
      <c r="E107" s="11">
        <v>27320.576000000019</v>
      </c>
      <c r="F107" s="11">
        <v>26030.783999999996</v>
      </c>
      <c r="G107" s="11">
        <v>22398.175999999992</v>
      </c>
      <c r="H107" s="11">
        <v>7908.5120000000006</v>
      </c>
      <c r="I107" s="11">
        <v>8843.1359999999986</v>
      </c>
      <c r="J107" s="11">
        <v>10246.143999999998</v>
      </c>
      <c r="K107" s="11">
        <v>10369.952000000003</v>
      </c>
      <c r="L107" s="11">
        <v>10296.544</v>
      </c>
      <c r="M107" s="11">
        <v>9133.7599999999966</v>
      </c>
    </row>
    <row r="108" spans="1:13" x14ac:dyDescent="0.25">
      <c r="A108" s="9">
        <f t="shared" si="3"/>
        <v>46357</v>
      </c>
      <c r="B108" s="11">
        <v>15727.52</v>
      </c>
      <c r="C108" s="11">
        <v>20636.543999999998</v>
      </c>
      <c r="D108" s="11">
        <v>25510.880000000001</v>
      </c>
      <c r="E108" s="11">
        <v>25847.104000000007</v>
      </c>
      <c r="F108" s="11">
        <v>24611.679999999989</v>
      </c>
      <c r="G108" s="11">
        <v>20625.599999999999</v>
      </c>
      <c r="H108" s="11">
        <v>6483.007999999998</v>
      </c>
      <c r="I108" s="11">
        <v>8162.3680000000013</v>
      </c>
      <c r="J108" s="11">
        <v>9175.7440000000006</v>
      </c>
      <c r="K108" s="11">
        <v>9365.1839999999975</v>
      </c>
      <c r="L108" s="11">
        <v>9208.6079999999984</v>
      </c>
      <c r="M108" s="11">
        <v>7909.1840000000011</v>
      </c>
    </row>
    <row r="109" spans="1:13" x14ac:dyDescent="0.25">
      <c r="A109" s="9">
        <f t="shared" si="3"/>
        <v>46388</v>
      </c>
      <c r="B109" s="11">
        <v>17455.999999999996</v>
      </c>
      <c r="C109" s="11">
        <v>22087.840000000007</v>
      </c>
      <c r="D109" s="11">
        <v>27393.888000000003</v>
      </c>
      <c r="E109" s="11">
        <v>29175.776000000016</v>
      </c>
      <c r="F109" s="11">
        <v>28071.071999999986</v>
      </c>
      <c r="G109" s="11">
        <v>22870.879999999986</v>
      </c>
      <c r="H109" s="11">
        <v>7157.6960000000008</v>
      </c>
      <c r="I109" s="11">
        <v>8345.0879999999997</v>
      </c>
      <c r="J109" s="11">
        <v>9408.9279999999981</v>
      </c>
      <c r="K109" s="11">
        <v>10142.56</v>
      </c>
      <c r="L109" s="11">
        <v>10548.736000000003</v>
      </c>
      <c r="M109" s="11">
        <v>8963.9039999999986</v>
      </c>
    </row>
    <row r="110" spans="1:13" x14ac:dyDescent="0.25">
      <c r="A110" s="9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x14ac:dyDescent="0.25">
      <c r="A111" s="9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x14ac:dyDescent="0.25">
      <c r="A112" s="5" t="s">
        <v>22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spans="1:1" x14ac:dyDescent="0.25">
      <c r="A113" s="1" t="s">
        <v>23</v>
      </c>
    </row>
    <row r="114" spans="1:1" x14ac:dyDescent="0.25"/>
    <row r="383" ht="0.75" hidden="1" customHeight="1" x14ac:dyDescent="0.25"/>
  </sheetData>
  <mergeCells count="9">
    <mergeCell ref="A2:N3"/>
    <mergeCell ref="B18:G18"/>
    <mergeCell ref="H18:M18"/>
    <mergeCell ref="B44:G44"/>
    <mergeCell ref="H44:M44"/>
    <mergeCell ref="B70:G70"/>
    <mergeCell ref="H70:M70"/>
    <mergeCell ref="B96:G96"/>
    <mergeCell ref="H96:M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List</vt:lpstr>
      <vt:lpstr>48 Part</vt:lpstr>
      <vt:lpstr>144 Part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- Energy Select</dc:creator>
  <cp:lastModifiedBy>Erin - Energy Select</cp:lastModifiedBy>
  <dcterms:created xsi:type="dcterms:W3CDTF">2011-07-25T04:31:51Z</dcterms:created>
  <dcterms:modified xsi:type="dcterms:W3CDTF">2025-08-05T01:16:00Z</dcterms:modified>
</cp:coreProperties>
</file>